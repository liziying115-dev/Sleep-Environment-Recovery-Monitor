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sor Unit" sheetId="1" r:id="rId5"/>
    <sheet state="visible" name="Display Unit" sheetId="2" r:id="rId6"/>
    <sheet state="visible" name="Sensitivity Analysis_Sensor" sheetId="3" r:id="rId7"/>
    <sheet state="visible" name="Sensitivity Analysis_Display" sheetId="4" r:id="rId8"/>
  </sheets>
  <definedNames/>
  <calcPr/>
</workbook>
</file>

<file path=xl/sharedStrings.xml><?xml version="1.0" encoding="utf-8"?>
<sst xmlns="http://schemas.openxmlformats.org/spreadsheetml/2006/main" count="205" uniqueCount="111">
  <si>
    <t>System Parameters (defined by hardware)</t>
  </si>
  <si>
    <t>Profiles (usage of each component mode - defined by software and usage)</t>
  </si>
  <si>
    <t>form the datasheets</t>
  </si>
  <si>
    <t>"off"</t>
  </si>
  <si>
    <t>"sensing"</t>
  </si>
  <si>
    <t>"interactive"</t>
  </si>
  <si>
    <t>Processor</t>
  </si>
  <si>
    <t>https://github.com/liziying115-dev/Sleep-Environment-Recovery-Monitor/blob/main/datasheets/esp32-c3_datasheet.pdf</t>
  </si>
  <si>
    <t>Active</t>
  </si>
  <si>
    <t>mW</t>
  </si>
  <si>
    <t>Idle</t>
  </si>
  <si>
    <t>Sleep</t>
  </si>
  <si>
    <t>Sensor</t>
  </si>
  <si>
    <t>BME280 (Temp/Humid/Press)</t>
  </si>
  <si>
    <t>https://github.com/liziying115-dev/Sleep-Environment-Recovery-Monitor/blob/main/datasheets/bme280_datasheet.pdf</t>
  </si>
  <si>
    <t>VEML7700 (Light Sensor)</t>
  </si>
  <si>
    <t>https://github.com/liziying115-dev/Sleep-Environment-Recovery-Monitor/blob/main/datasheets/veml7700%E2%80%94%E2%80%94datasheet.pdf</t>
  </si>
  <si>
    <t>SPH0645LM4H-B (Microphone)</t>
  </si>
  <si>
    <t>https://github.com/liziying115-dev/Sleep-Environment-Recovery-Monitor/blob/main/datasheets/sph0645lm4h_datasheet.pdf</t>
  </si>
  <si>
    <t>Radio</t>
  </si>
  <si>
    <t>Data Rate</t>
  </si>
  <si>
    <t>bps</t>
  </si>
  <si>
    <t>Total power in profile (mw)</t>
  </si>
  <si>
    <t xml:space="preserve">Maximum Time </t>
  </si>
  <si>
    <t>Standby Power</t>
  </si>
  <si>
    <t>hours</t>
  </si>
  <si>
    <t>TX Power</t>
  </si>
  <si>
    <t>RX Power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</si>
  <si>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</si>
  <si>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</si>
  <si>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</si>
  <si>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</si>
  <si>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</si>
  <si>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</si>
  <si>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</si>
  <si>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</si>
  <si>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</si>
  <si>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</si>
  <si>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</si>
  <si>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Hours of Use</t>
  </si>
  <si>
    <t>How did you determine your "days of use" metric ?</t>
  </si>
  <si>
    <t>I used a 6-step power budget calculation:</t>
  </si>
  <si>
    <t>1. Extract power values from datasheets (ESP32-C3: 65mW active, 1mW sleep;</t>
  </si>
  <si>
    <t>sensors: 15mW total active, 0.6mW idle)</t>
  </si>
  <si>
    <t>2. Define usage modes (off: 16hr, sensing: 7hr, interactive: 2sec per day)</t>
  </si>
  <si>
    <t>3. Calculate duty cycles (sensing mode: 1.67% active, 98.33% sleep)</t>
  </si>
  <si>
    <t>4. Compute weighted power per mode (off: 1.6mW, sensing: 2.99mW,</t>
  </si>
  <si>
    <t>interactive: 100mW)</t>
  </si>
  <si>
    <t>5. Calculate daily energy: 46.62 mW*h per day</t>
  </si>
  <si>
    <t>6. Battery life: 8325 mW*h ÷ 46.62 mW*h/day = 178 days</t>
  </si>
  <si>
    <t>What do you think is the optimum size for the battery in your device ?</t>
  </si>
  <si>
    <t xml:space="preserve">2500-3000 mAh 18650 is optimal. </t>
  </si>
  <si>
    <t>This provides margin for battery degradation (20%/year), temperature effects, and user convenience. The</t>
  </si>
  <si>
    <t>18650 form factor is standardized, cost-effective ($6-10), and widely</t>
  </si>
  <si>
    <t>available. Panasonic NCR18650B (3400mAh) recommended for 240-day life.</t>
  </si>
  <si>
    <t>What hardware/software/cost/effort tradeoffs could you make to improve the user experience ?</t>
  </si>
  <si>
    <t>HARDWARE:</t>
  </si>
  <si>
    <t>- Adaptive sampling (no cost, +8hr): Sample every 10min when stable,</t>
  </si>
  <si>
    <t>every 2min during disturbances. Saves 20-30% power. RECOMMENDED.</t>
  </si>
  <si>
    <t>- Wireless charging (+$5, +5hr): Qi coil for cable-free charging.</t>
  </si>
  <si>
    <t>Major convenience boost.</t>
  </si>
  <si>
    <t>SOFTWARE:</t>
  </si>
  <si>
    <t>- Battery % indicator (no cost, +2hr): ESP32 ADC monitors voltage.</t>
  </si>
  <si>
    <t>ESSENTIAL for UX.</t>
  </si>
  <si>
    <t>- Smart sleep detection (no cost, +10hr): Motion sensor detects when</t>
  </si>
  <si>
    <t>user in bed. Saves 5-10% power.</t>
  </si>
  <si>
    <t>LED</t>
  </si>
  <si>
    <t>On</t>
  </si>
  <si>
    <t>Display (SSD1306 OLED)</t>
  </si>
  <si>
    <t>https://github.com/liziying115-dev/Sleep-Environment-Recovery-Monitor/blob/main/datasheets/ssd1306_datasheet.pdf</t>
  </si>
  <si>
    <t>Off (leakage)</t>
  </si>
  <si>
    <t>Motor &amp; Driver</t>
  </si>
  <si>
    <t>Standby</t>
  </si>
  <si>
    <t>Same methodology as Sensor Unit:</t>
  </si>
  <si>
    <t>1. Component power from datasheets (ESP32-C3: 65mW, OLED: 20mW,</t>
  </si>
  <si>
    <t>LED: 5mW, Motor: 300mW active/5mW standby)</t>
  </si>
  <si>
    <t>2. Usage modes (off: 23hr, sensing: 0.1hr, interactive: 35sec per day)</t>
  </si>
  <si>
    <t>3. Duty cycles (sensing: 0.28% active, interactive: motor 14.3% of 35sec)</t>
  </si>
  <si>
    <t>4. Weighted power (off: 7mW, sensing: 2.21mW, interactive: 137.9mW)</t>
  </si>
  <si>
    <t>5. Daily energy: 162.6 mW*h per day</t>
  </si>
  <si>
    <t>6. Battery life: 6660 mW*h ÷ 162.6 mW*h/day = 39 days</t>
  </si>
  <si>
    <t>2000 mAh LiPo or 18650 is optimal. Provides 39 days (13x the 3-day</t>
  </si>
  <si>
    <t>target), with margin for degradation and heavy usage. Motor driver</t>
  </si>
  <si>
    <t>standby (5mW) dominates power budget - with power gating, same battery</t>
  </si>
  <si>
    <t>could last 200+ days. Recommended: Adafruit 2011 LiPo ($12.95) with</t>
  </si>
  <si>
    <t>protection circuit and JST connector.</t>
  </si>
  <si>
    <t>- Motor driver power gating (+$2, +2hr): P-channel MOSFET to switch</t>
  </si>
  <si>
    <t>A4988 power. Extends battery from 39 to 200+ days (5x improvement).</t>
  </si>
  <si>
    <t>HIGHEST PRIORITY.</t>
  </si>
  <si>
    <t>- Wireless charging (+$5, +5hr): Qi coil for nightstand charging.</t>
  </si>
  <si>
    <t>Major convenience.</t>
  </si>
  <si>
    <t>- Battery % indicator (no cost, +2hr): Display remaining %. ESSENTIAL.</t>
  </si>
  <si>
    <t>- Adaptive brightness (no cost, +4hr): Dim OLED at night. Reduces</t>
  </si>
  <si>
    <t>power and improves comfort.</t>
  </si>
  <si>
    <t>KEY INSIGHT: Motor driver standby is the bottleneck. $2 MOSFET provides</t>
  </si>
  <si>
    <t>5x battery improvement - highest ROI optimization.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</si>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</sst>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0.0000"/>
    <numFmt numFmtId="166" formatCode="0.0"/>
    <numFmt numFmtId="167" formatCode="0.00000"/>
    <numFmt numFmtId="168" formatCode="#,##0.00000"/>
    <numFmt numFmtId="169" formatCode="#,##0.0000"/>
    <numFmt numFmtId="170" formatCode="0.000000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color theme="1"/>
      <name val="Arial"/>
    </font>
    <font>
      <u/>
      <color rgb="FF0000FF"/>
      <name val="Arial"/>
    </font>
    <font>
      <color theme="1"/>
      <name val="Arial"/>
    </font>
    <font>
      <b/>
      <sz val="12.0"/>
      <color rgb="FF273540"/>
      <name val="Arial"/>
    </font>
    <font>
      <b/>
      <sz val="12.0"/>
      <color rgb="FF273540"/>
      <name val="LatoWeb"/>
    </font>
    <font>
      <sz val="10.0"/>
      <color theme="1"/>
      <name val="Arial"/>
      <scheme val="minor"/>
    </font>
    <font>
      <sz val="11.0"/>
      <color rgb="FF000000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1" numFmtId="0" xfId="0" applyBorder="1" applyFont="1"/>
    <xf borderId="4" fillId="0" fontId="1" numFmtId="0" xfId="0" applyBorder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0" fillId="2" fontId="3" numFmtId="1" xfId="0" applyAlignment="1" applyFill="1" applyFont="1" applyNumberFormat="1">
      <alignment readingOrder="0"/>
    </xf>
    <xf borderId="0" fillId="2" fontId="1" numFmtId="9" xfId="0" applyAlignment="1" applyFont="1" applyNumberFormat="1">
      <alignment readingOrder="0"/>
    </xf>
    <xf borderId="0" fillId="2" fontId="3" numFmtId="10" xfId="0" applyAlignment="1" applyFont="1" applyNumberFormat="1">
      <alignment readingOrder="0"/>
    </xf>
    <xf borderId="0" fillId="2" fontId="1" numFmtId="1" xfId="0" applyAlignment="1" applyFont="1" applyNumberFormat="1">
      <alignment readingOrder="0"/>
    </xf>
    <xf borderId="0" fillId="2" fontId="3" numFmtId="9" xfId="0" applyAlignment="1" applyFont="1" applyNumberFormat="1">
      <alignment readingOrder="0"/>
    </xf>
    <xf borderId="0" fillId="2" fontId="1" numFmtId="10" xfId="0" applyAlignment="1" applyFont="1" applyNumberFormat="1">
      <alignment readingOrder="0"/>
    </xf>
    <xf borderId="0" fillId="0" fontId="1" numFmtId="1" xfId="0" applyFont="1" applyNumberFormat="1"/>
    <xf borderId="4" fillId="0" fontId="5" numFmtId="0" xfId="0" applyAlignment="1" applyBorder="1" applyFont="1">
      <alignment vertical="bottom"/>
    </xf>
    <xf borderId="0" fillId="0" fontId="6" numFmtId="1" xfId="0" applyAlignment="1" applyFont="1" applyNumberForma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9" xfId="0" applyAlignment="1" applyFont="1" applyNumberFormat="1">
      <alignment vertical="bottom"/>
    </xf>
    <xf borderId="0" fillId="0" fontId="7" numFmtId="164" xfId="0" applyAlignment="1" applyFont="1" applyNumberFormat="1">
      <alignment vertical="bottom"/>
    </xf>
    <xf borderId="0" fillId="2" fontId="7" numFmtId="1" xfId="0" applyAlignment="1" applyFont="1" applyNumberFormat="1">
      <alignment horizontal="right" vertical="bottom"/>
    </xf>
    <xf borderId="0" fillId="2" fontId="7" numFmtId="9" xfId="0" applyAlignment="1" applyFont="1" applyNumberFormat="1">
      <alignment horizontal="right" vertical="bottom"/>
    </xf>
    <xf borderId="0" fillId="2" fontId="7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readingOrder="0"/>
    </xf>
    <xf borderId="0" fillId="2" fontId="7" numFmtId="10" xfId="0" applyAlignment="1" applyFont="1" applyNumberFormat="1">
      <alignment horizontal="right" vertical="bottom"/>
    </xf>
    <xf borderId="4" fillId="0" fontId="5" numFmtId="0" xfId="0" applyAlignment="1" applyBorder="1" applyFont="1">
      <alignment vertical="bottom"/>
    </xf>
    <xf borderId="0" fillId="0" fontId="1" numFmtId="10" xfId="0" applyFont="1" applyNumberFormat="1"/>
    <xf borderId="0" fillId="2" fontId="7" numFmtId="166" xfId="0" applyAlignment="1" applyFont="1" applyNumberFormat="1">
      <alignment horizontal="right" vertical="bottom"/>
    </xf>
    <xf borderId="0" fillId="2" fontId="1" numFmtId="0" xfId="0" applyAlignment="1" applyFont="1">
      <alignment readingOrder="0"/>
    </xf>
    <xf borderId="0" fillId="0" fontId="7" numFmtId="1" xfId="0" applyAlignment="1" applyFont="1" applyNumberFormat="1">
      <alignment horizontal="right" vertical="bottom"/>
    </xf>
    <xf borderId="0" fillId="0" fontId="7" numFmtId="9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166" xfId="0" applyFont="1" applyNumberFormat="1"/>
    <xf borderId="0" fillId="3" fontId="1" numFmtId="167" xfId="0" applyFont="1" applyNumberFormat="1"/>
    <xf borderId="0" fillId="2" fontId="1" numFmtId="168" xfId="0" applyAlignment="1" applyFont="1" applyNumberFormat="1">
      <alignment readingOrder="0"/>
    </xf>
    <xf borderId="0" fillId="0" fontId="1" numFmtId="0" xfId="0" applyFont="1"/>
    <xf borderId="0" fillId="2" fontId="1" numFmtId="166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2" xfId="0" applyFont="1" applyNumberForma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5" fontId="8" numFmtId="0" xfId="0" applyAlignment="1" applyFill="1" applyFont="1">
      <alignment readingOrder="0"/>
    </xf>
    <xf borderId="0" fillId="5" fontId="9" numFmtId="0" xfId="0" applyAlignment="1" applyFont="1">
      <alignment readingOrder="0"/>
    </xf>
    <xf borderId="0" fillId="2" fontId="10" numFmtId="10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2" fontId="1" numFmtId="169" xfId="0" applyAlignment="1" applyFont="1" applyNumberFormat="1">
      <alignment readingOrder="0"/>
    </xf>
    <xf borderId="0" fillId="5" fontId="8" numFmtId="0" xfId="0" applyAlignment="1" applyFont="1">
      <alignment vertical="bottom"/>
    </xf>
    <xf borderId="0" fillId="5" fontId="11" numFmtId="0" xfId="0" applyAlignment="1" applyFont="1">
      <alignment readingOrder="0" vertical="bottom"/>
    </xf>
    <xf borderId="0" fillId="0" fontId="12" numFmtId="0" xfId="0" applyFont="1"/>
    <xf borderId="0" fillId="5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" numFmtId="9" xfId="0" applyFont="1" applyNumberFormat="1"/>
    <xf borderId="0" fillId="0" fontId="14" numFmtId="1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8" xfId="0" applyFont="1" applyNumberFormat="1"/>
    <xf borderId="0" fillId="0" fontId="1" numFmtId="170" xfId="0" applyFont="1" applyNumberFormat="1"/>
    <xf borderId="0" fillId="0" fontId="7" numFmtId="1" xfId="0" applyAlignment="1" applyFont="1" applyNumberFormat="1">
      <alignment horizontal="right" readingOrder="0" vertical="bottom"/>
    </xf>
    <xf borderId="0" fillId="0" fontId="7" numFmtId="165" xfId="0" applyAlignment="1" applyFont="1" applyNumberFormat="1">
      <alignment horizontal="right" vertical="bottom"/>
    </xf>
    <xf borderId="0" fillId="0" fontId="7" numFmtId="1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0" fontId="1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Analysis_Sensor'!$D$99:$O$99</c:f>
            </c:strRef>
          </c:cat>
          <c:val>
            <c:numRef>
              <c:f>'Sensitivity Analysis_Sensor'!$D$98:$O$98</c:f>
              <c:numCache/>
            </c:numRef>
          </c:val>
        </c:ser>
        <c:axId val="1105099417"/>
        <c:axId val="418061277"/>
      </c:barChart>
      <c:catAx>
        <c:axId val="1105099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061277"/>
      </c:catAx>
      <c:valAx>
        <c:axId val="418061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099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Analysis_Display'!$D$99:$O$99</c:f>
            </c:strRef>
          </c:cat>
          <c:val>
            <c:numRef>
              <c:f>'Sensitivity Analysis_Display'!$D$98:$O$98</c:f>
              <c:numCache/>
            </c:numRef>
          </c:val>
        </c:ser>
        <c:axId val="773418972"/>
        <c:axId val="1034700689"/>
      </c:barChart>
      <c:catAx>
        <c:axId val="773418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4700689"/>
      </c:catAx>
      <c:valAx>
        <c:axId val="1034700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34189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Analysis_Sensor'!$D$99:$O$99</c:f>
            </c:strRef>
          </c:cat>
          <c:val>
            <c:numRef>
              <c:f>'Sensitivity Analysis_Sensor'!$D$98:$O$98</c:f>
              <c:numCache/>
            </c:numRef>
          </c:val>
        </c:ser>
        <c:axId val="935876294"/>
        <c:axId val="866876928"/>
      </c:barChart>
      <c:catAx>
        <c:axId val="935876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876928"/>
      </c:catAx>
      <c:valAx>
        <c:axId val="866876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58762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Analysis_Display'!$D$99:$O$99</c:f>
            </c:strRef>
          </c:cat>
          <c:val>
            <c:numRef>
              <c:f>'Sensitivity Analysis_Display'!$D$98:$O$98</c:f>
              <c:numCache/>
            </c:numRef>
          </c:val>
        </c:ser>
        <c:axId val="340509325"/>
        <c:axId val="2030062732"/>
      </c:barChart>
      <c:catAx>
        <c:axId val="340509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0062732"/>
      </c:catAx>
      <c:valAx>
        <c:axId val="2030062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05093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876300</xdr:colOff>
      <xdr:row>0</xdr:row>
      <xdr:rowOff>123825</xdr:rowOff>
    </xdr:from>
    <xdr:ext cx="6743700" cy="4171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628650</xdr:colOff>
      <xdr:row>0</xdr:row>
      <xdr:rowOff>104775</xdr:rowOff>
    </xdr:from>
    <xdr:ext cx="6743700" cy="4171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2</xdr:row>
      <xdr:rowOff>171450</xdr:rowOff>
    </xdr:from>
    <xdr:ext cx="6743700" cy="41719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>
      <xdr:nvSpPr>
        <xdr:cNvPr id="3" name="Shape 3"/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2</xdr:row>
      <xdr:rowOff>171450</xdr:rowOff>
    </xdr:from>
    <xdr:ext cx="6743700" cy="41719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iziying115-dev/Sleep-Environment-Recovery-Monitor/blob/main/datasheets/esp32-c3_datasheet.pdf" TargetMode="External"/><Relationship Id="rId2" Type="http://schemas.openxmlformats.org/officeDocument/2006/relationships/hyperlink" Target="https://github.com/liziying115-dev/Sleep-Environment-Recovery-Monitor/blob/main/datasheets/bme280_datasheet.pdf" TargetMode="External"/><Relationship Id="rId3" Type="http://schemas.openxmlformats.org/officeDocument/2006/relationships/hyperlink" Target="https://github.com/liziying115-dev/Sleep-Environment-Recovery-Monitor/blob/main/datasheets/veml7700%E2%80%94%E2%80%94datasheet.pdfhttps://github.com/liziying115-dev/Sleep-Environment-Recovery-Monitor/blob/main/datasheets/veml7700%E2%80%94%E2%80%94datasheet.pdf" TargetMode="External"/><Relationship Id="rId4" Type="http://schemas.openxmlformats.org/officeDocument/2006/relationships/hyperlink" Target="https://github.com/liziying115-dev/Sleep-Environment-Recovery-Monitor/blob/main/datasheets/sph0645lm4h_datasheet.pdf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iziying115-dev/Sleep-Environment-Recovery-Monitor/blob/main/datasheets/esp32-c3_datasheet.pdf" TargetMode="External"/><Relationship Id="rId2" Type="http://schemas.openxmlformats.org/officeDocument/2006/relationships/hyperlink" Target="https://github.com/liziying115-dev/Sleep-Environment-Recovery-Monitor/blob/main/datasheets/ssd1306_datasheet.pdf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5" max="5" width="12.75"/>
  </cols>
  <sheetData>
    <row r="2">
      <c r="A2" s="1"/>
      <c r="B2" s="2"/>
      <c r="C2" s="2"/>
      <c r="D2" s="2"/>
      <c r="E2" s="2"/>
      <c r="F2" s="2"/>
      <c r="G2" s="2"/>
      <c r="H2" s="2"/>
      <c r="I2" s="3"/>
    </row>
    <row r="3">
      <c r="A3" s="4" t="s">
        <v>0</v>
      </c>
      <c r="E3" s="5" t="s">
        <v>1</v>
      </c>
      <c r="I3" s="6"/>
    </row>
    <row r="4">
      <c r="A4" s="7"/>
      <c r="B4" s="8" t="s">
        <v>2</v>
      </c>
      <c r="I4" s="6"/>
    </row>
    <row r="5">
      <c r="A5" s="7"/>
      <c r="E5" s="9" t="s">
        <v>3</v>
      </c>
      <c r="F5" s="9" t="s">
        <v>4</v>
      </c>
      <c r="G5" s="9" t="s">
        <v>5</v>
      </c>
      <c r="I5" s="6"/>
    </row>
    <row r="6">
      <c r="A6" s="4" t="s">
        <v>6</v>
      </c>
      <c r="B6" s="10" t="s">
        <v>7</v>
      </c>
      <c r="I6" s="6"/>
    </row>
    <row r="7">
      <c r="A7" s="11" t="s">
        <v>8</v>
      </c>
      <c r="B7" s="12">
        <v>65.0003</v>
      </c>
      <c r="C7" s="9" t="s">
        <v>9</v>
      </c>
      <c r="E7" s="13">
        <v>0.0</v>
      </c>
      <c r="F7" s="14">
        <v>0.0167</v>
      </c>
      <c r="G7" s="13">
        <v>1.0</v>
      </c>
      <c r="I7" s="6"/>
    </row>
    <row r="8">
      <c r="A8" s="11" t="s">
        <v>10</v>
      </c>
      <c r="B8" s="15">
        <v>10.0002</v>
      </c>
      <c r="C8" s="9" t="s">
        <v>9</v>
      </c>
      <c r="E8" s="13">
        <v>0.0</v>
      </c>
      <c r="F8" s="16">
        <v>0.0</v>
      </c>
      <c r="G8" s="13">
        <v>0.0</v>
      </c>
      <c r="I8" s="6"/>
    </row>
    <row r="9">
      <c r="A9" s="11" t="s">
        <v>11</v>
      </c>
      <c r="B9" s="15">
        <v>1.00035</v>
      </c>
      <c r="C9" s="9" t="s">
        <v>9</v>
      </c>
      <c r="E9" s="13">
        <v>1.0</v>
      </c>
      <c r="F9" s="17">
        <v>0.9833</v>
      </c>
      <c r="G9" s="13">
        <v>0.0</v>
      </c>
      <c r="I9" s="6"/>
    </row>
    <row r="10">
      <c r="A10" s="7"/>
      <c r="I10" s="6"/>
    </row>
    <row r="11">
      <c r="A11" s="4" t="s">
        <v>12</v>
      </c>
      <c r="B11" s="18"/>
      <c r="I11" s="6"/>
    </row>
    <row r="12">
      <c r="A12" s="19" t="s">
        <v>13</v>
      </c>
      <c r="B12" s="20" t="s">
        <v>14</v>
      </c>
      <c r="C12" s="21"/>
      <c r="D12" s="22"/>
      <c r="E12" s="23"/>
      <c r="F12" s="24"/>
      <c r="G12" s="23"/>
      <c r="I12" s="6"/>
    </row>
    <row r="13">
      <c r="A13" s="11" t="s">
        <v>8</v>
      </c>
      <c r="B13" s="25">
        <v>5.0</v>
      </c>
      <c r="C13" s="21" t="s">
        <v>9</v>
      </c>
      <c r="D13" s="22"/>
      <c r="E13" s="26">
        <v>0.0</v>
      </c>
      <c r="F13" s="27">
        <v>0.0167</v>
      </c>
      <c r="G13" s="26">
        <v>1.0</v>
      </c>
      <c r="I13" s="6"/>
    </row>
    <row r="14">
      <c r="A14" s="11" t="s">
        <v>10</v>
      </c>
      <c r="B14" s="28">
        <v>3.0E-4</v>
      </c>
      <c r="C14" s="21" t="s">
        <v>9</v>
      </c>
      <c r="D14" s="22"/>
      <c r="E14" s="26">
        <v>1.0</v>
      </c>
      <c r="F14" s="29">
        <v>0.9833</v>
      </c>
      <c r="G14" s="26">
        <v>0.0</v>
      </c>
      <c r="I14" s="6"/>
    </row>
    <row r="15">
      <c r="A15" s="11"/>
      <c r="I15" s="6"/>
    </row>
    <row r="16">
      <c r="A16" s="30" t="s">
        <v>15</v>
      </c>
      <c r="B16" s="10" t="s">
        <v>16</v>
      </c>
      <c r="I16" s="6"/>
    </row>
    <row r="17">
      <c r="A17" s="11" t="s">
        <v>8</v>
      </c>
      <c r="B17" s="25">
        <v>5.0</v>
      </c>
      <c r="C17" s="22" t="s">
        <v>9</v>
      </c>
      <c r="D17" s="22"/>
      <c r="E17" s="26">
        <v>0.0</v>
      </c>
      <c r="F17" s="29">
        <v>0.0167</v>
      </c>
      <c r="G17" s="29">
        <v>1.0</v>
      </c>
      <c r="H17" s="31"/>
      <c r="I17" s="6"/>
    </row>
    <row r="18">
      <c r="A18" s="11" t="s">
        <v>10</v>
      </c>
      <c r="B18" s="32">
        <v>0.5</v>
      </c>
      <c r="C18" s="22" t="s">
        <v>9</v>
      </c>
      <c r="D18" s="22"/>
      <c r="E18" s="26">
        <v>1.0</v>
      </c>
      <c r="F18" s="29">
        <v>0.9833</v>
      </c>
      <c r="G18" s="26">
        <v>0.0</v>
      </c>
      <c r="I18" s="6"/>
    </row>
    <row r="19">
      <c r="A19" s="11"/>
      <c r="I19" s="6"/>
    </row>
    <row r="20">
      <c r="A20" s="19" t="s">
        <v>17</v>
      </c>
      <c r="B20" s="10" t="s">
        <v>18</v>
      </c>
      <c r="I20" s="6"/>
    </row>
    <row r="21">
      <c r="A21" s="11" t="s">
        <v>8</v>
      </c>
      <c r="B21" s="25">
        <v>5.0</v>
      </c>
      <c r="C21" s="22" t="s">
        <v>9</v>
      </c>
      <c r="D21" s="22"/>
      <c r="E21" s="26">
        <v>0.0</v>
      </c>
      <c r="F21" s="29">
        <v>0.0167</v>
      </c>
      <c r="G21" s="26">
        <v>1.0</v>
      </c>
      <c r="I21" s="6"/>
    </row>
    <row r="22">
      <c r="A22" s="11" t="s">
        <v>10</v>
      </c>
      <c r="B22" s="33">
        <v>0.1</v>
      </c>
      <c r="C22" s="22" t="s">
        <v>9</v>
      </c>
      <c r="D22" s="22"/>
      <c r="E22" s="26">
        <v>1.0</v>
      </c>
      <c r="F22" s="29">
        <v>0.9833</v>
      </c>
      <c r="G22" s="26">
        <v>0.0</v>
      </c>
      <c r="I22" s="6"/>
    </row>
    <row r="23">
      <c r="A23" s="11"/>
      <c r="B23" s="34"/>
      <c r="C23" s="22"/>
      <c r="D23" s="22"/>
      <c r="E23" s="35"/>
      <c r="F23" s="35"/>
      <c r="G23" s="35"/>
      <c r="I23" s="6"/>
    </row>
    <row r="24">
      <c r="A24" s="5" t="s">
        <v>19</v>
      </c>
      <c r="I24" s="6"/>
      <c r="K24" s="1"/>
      <c r="L24" s="2"/>
      <c r="M24" s="2"/>
      <c r="N24" s="2"/>
      <c r="O24" s="2"/>
      <c r="P24" s="2"/>
      <c r="Q24" s="3"/>
    </row>
    <row r="25">
      <c r="A25" s="11" t="s">
        <v>20</v>
      </c>
      <c r="B25" s="33">
        <v>300.0</v>
      </c>
      <c r="C25" s="9" t="s">
        <v>21</v>
      </c>
      <c r="E25" s="13"/>
      <c r="F25" s="13"/>
      <c r="G25" s="13"/>
      <c r="I25" s="6"/>
      <c r="K25" s="7"/>
      <c r="L25" s="36" t="s">
        <v>22</v>
      </c>
      <c r="M25" s="37"/>
      <c r="N25" s="37"/>
      <c r="O25" s="36" t="s">
        <v>23</v>
      </c>
      <c r="P25" s="37"/>
      <c r="Q25" s="6"/>
    </row>
    <row r="26">
      <c r="A26" s="11" t="s">
        <v>24</v>
      </c>
      <c r="B26" s="15">
        <v>5.00002</v>
      </c>
      <c r="C26" s="9" t="s">
        <v>9</v>
      </c>
      <c r="E26" s="13">
        <v>0.0</v>
      </c>
      <c r="F26" s="17">
        <v>0.0167</v>
      </c>
      <c r="G26" s="13">
        <v>0.0</v>
      </c>
      <c r="I26" s="6"/>
      <c r="K26" s="7"/>
      <c r="L26" s="37" t="str">
        <f>E5</f>
        <v>"off"</v>
      </c>
      <c r="M26" s="37">
        <f>SUMPRODUCT(B7:B28, E7:E28)</f>
        <v>1.60065</v>
      </c>
      <c r="N26" s="36" t="s">
        <v>9</v>
      </c>
      <c r="O26" s="38">
        <f t="shared" ref="O26:O28" si="1">$M$31/M26</f>
        <v>5201.012089</v>
      </c>
      <c r="P26" s="36" t="s">
        <v>25</v>
      </c>
      <c r="Q26" s="6"/>
    </row>
    <row r="27">
      <c r="A27" s="11" t="s">
        <v>26</v>
      </c>
      <c r="B27" s="15">
        <v>20.000003</v>
      </c>
      <c r="C27" s="9" t="s">
        <v>9</v>
      </c>
      <c r="E27" s="13">
        <v>0.0</v>
      </c>
      <c r="F27" s="13">
        <v>0.0</v>
      </c>
      <c r="G27" s="13">
        <v>1.0</v>
      </c>
      <c r="I27" s="6"/>
      <c r="K27" s="7"/>
      <c r="L27" s="37" t="str">
        <f>F5</f>
        <v>"sensing"</v>
      </c>
      <c r="M27" s="39">
        <f>SUMPRODUCT(B7:B28, F7:F28)</f>
        <v>2.993424489</v>
      </c>
      <c r="N27" s="36" t="s">
        <v>9</v>
      </c>
      <c r="O27" s="38">
        <f t="shared" si="1"/>
        <v>2781.095708</v>
      </c>
      <c r="P27" s="36" t="s">
        <v>25</v>
      </c>
      <c r="Q27" s="6"/>
    </row>
    <row r="28">
      <c r="A28" s="11" t="s">
        <v>27</v>
      </c>
      <c r="B28" s="15">
        <v>10.000001</v>
      </c>
      <c r="C28" s="9" t="s">
        <v>9</v>
      </c>
      <c r="E28" s="13">
        <v>0.0</v>
      </c>
      <c r="F28" s="13">
        <v>0.0</v>
      </c>
      <c r="G28" s="13">
        <v>0.0</v>
      </c>
      <c r="I28" s="6"/>
      <c r="K28" s="7"/>
      <c r="L28" s="37" t="str">
        <f>G5</f>
        <v>"interactive"</v>
      </c>
      <c r="M28" s="37">
        <f>SUMPRODUCT(B7:B28, G7:G28)</f>
        <v>100.000303</v>
      </c>
      <c r="N28" s="36" t="s">
        <v>9</v>
      </c>
      <c r="O28" s="38">
        <f t="shared" si="1"/>
        <v>83.24974775</v>
      </c>
      <c r="P28" s="36" t="s">
        <v>25</v>
      </c>
      <c r="Q28" s="6"/>
    </row>
    <row r="29">
      <c r="A29" s="7"/>
      <c r="I29" s="6"/>
      <c r="K29" s="7"/>
      <c r="Q29" s="6"/>
    </row>
    <row r="30">
      <c r="A30" s="4"/>
      <c r="E30" s="33">
        <v>16.0</v>
      </c>
      <c r="F30" s="33">
        <v>7.0</v>
      </c>
      <c r="G30" s="40">
        <f>2/3600</f>
        <v>0.0005555555556</v>
      </c>
      <c r="H30" s="9" t="s">
        <v>28</v>
      </c>
      <c r="I30" s="6"/>
      <c r="K30" s="7"/>
      <c r="L30" s="9" t="s">
        <v>29</v>
      </c>
      <c r="Q30" s="6"/>
    </row>
    <row r="31">
      <c r="A31" s="4" t="s">
        <v>30</v>
      </c>
      <c r="I31" s="6"/>
      <c r="K31" s="7"/>
      <c r="M31" s="41">
        <f>B32*B33*B34</f>
        <v>8325</v>
      </c>
      <c r="N31" s="9" t="s">
        <v>31</v>
      </c>
      <c r="Q31" s="6"/>
    </row>
    <row r="32">
      <c r="A32" s="11" t="s">
        <v>32</v>
      </c>
      <c r="B32" s="15">
        <v>2500.0</v>
      </c>
      <c r="C32" s="9" t="s">
        <v>33</v>
      </c>
      <c r="I32" s="6"/>
      <c r="K32" s="7"/>
      <c r="Q32" s="6"/>
    </row>
    <row r="33">
      <c r="A33" s="11" t="s">
        <v>34</v>
      </c>
      <c r="B33" s="42">
        <v>3.7</v>
      </c>
      <c r="C33" s="9" t="s">
        <v>35</v>
      </c>
      <c r="I33" s="6"/>
      <c r="K33" s="7"/>
      <c r="L33" s="43" t="s">
        <v>36</v>
      </c>
      <c r="M33" s="44">
        <f>M31/(E30*M26+F30*M27+G30*M28)</f>
        <v>178.5717076</v>
      </c>
      <c r="N33" s="43" t="s">
        <v>37</v>
      </c>
      <c r="Q33" s="6"/>
    </row>
    <row r="34">
      <c r="A34" s="11" t="s">
        <v>38</v>
      </c>
      <c r="B34" s="13">
        <v>0.9</v>
      </c>
      <c r="I34" s="6"/>
      <c r="K34" s="7"/>
      <c r="L34" s="43" t="s">
        <v>39</v>
      </c>
      <c r="M34" s="44">
        <f>M33*24</f>
        <v>4285.720983</v>
      </c>
      <c r="N34" s="43" t="s">
        <v>25</v>
      </c>
      <c r="Q34" s="6"/>
    </row>
    <row r="35">
      <c r="A35" s="45"/>
      <c r="B35" s="46"/>
      <c r="C35" s="46"/>
      <c r="D35" s="46"/>
      <c r="E35" s="46"/>
      <c r="F35" s="46"/>
      <c r="G35" s="46"/>
      <c r="H35" s="46"/>
      <c r="I35" s="47"/>
      <c r="K35" s="45"/>
      <c r="L35" s="46"/>
      <c r="M35" s="46"/>
      <c r="N35" s="46"/>
      <c r="O35" s="46"/>
      <c r="P35" s="46"/>
      <c r="Q35" s="47"/>
    </row>
    <row r="37">
      <c r="A37" s="48" t="s">
        <v>40</v>
      </c>
    </row>
    <row r="38">
      <c r="A38" s="9" t="s">
        <v>41</v>
      </c>
    </row>
    <row r="39">
      <c r="A39" s="9" t="s">
        <v>42</v>
      </c>
    </row>
    <row r="40">
      <c r="A40" s="9" t="s">
        <v>43</v>
      </c>
    </row>
    <row r="41">
      <c r="A41" s="9" t="s">
        <v>44</v>
      </c>
    </row>
    <row r="42">
      <c r="A42" s="9" t="s">
        <v>45</v>
      </c>
    </row>
    <row r="43">
      <c r="A43" s="9" t="s">
        <v>46</v>
      </c>
    </row>
    <row r="44">
      <c r="A44" s="9" t="s">
        <v>47</v>
      </c>
    </row>
    <row r="45">
      <c r="A45" s="9" t="s">
        <v>48</v>
      </c>
    </row>
    <row r="46">
      <c r="A46" s="9" t="s">
        <v>49</v>
      </c>
    </row>
    <row r="48">
      <c r="A48" s="49" t="s">
        <v>50</v>
      </c>
    </row>
    <row r="49">
      <c r="A49" s="9" t="s">
        <v>51</v>
      </c>
    </row>
    <row r="50">
      <c r="A50" s="9" t="s">
        <v>52</v>
      </c>
    </row>
    <row r="51">
      <c r="A51" s="9" t="s">
        <v>53</v>
      </c>
    </row>
    <row r="52">
      <c r="A52" s="9" t="s">
        <v>54</v>
      </c>
    </row>
    <row r="54">
      <c r="A54" s="49" t="s">
        <v>55</v>
      </c>
    </row>
    <row r="55">
      <c r="A55" s="9" t="s">
        <v>56</v>
      </c>
    </row>
    <row r="56">
      <c r="A56" s="9" t="s">
        <v>57</v>
      </c>
    </row>
    <row r="57">
      <c r="A57" s="9" t="s">
        <v>58</v>
      </c>
    </row>
    <row r="58">
      <c r="A58" s="9" t="s">
        <v>59</v>
      </c>
    </row>
    <row r="59">
      <c r="A59" s="9" t="s">
        <v>60</v>
      </c>
    </row>
    <row r="61">
      <c r="A61" s="9" t="s">
        <v>61</v>
      </c>
    </row>
    <row r="62">
      <c r="A62" s="9" t="s">
        <v>62</v>
      </c>
    </row>
    <row r="63">
      <c r="A63" s="9" t="s">
        <v>63</v>
      </c>
    </row>
    <row r="64">
      <c r="A64" s="9" t="s">
        <v>64</v>
      </c>
    </row>
    <row r="65">
      <c r="A65" s="9" t="s">
        <v>65</v>
      </c>
    </row>
  </sheetData>
  <hyperlinks>
    <hyperlink r:id="rId1" ref="B6"/>
    <hyperlink r:id="rId2" ref="B12"/>
    <hyperlink r:id="rId3" ref="B16"/>
    <hyperlink r:id="rId4" ref="B20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/>
      <c r="C2" s="2"/>
      <c r="D2" s="2"/>
      <c r="E2" s="2"/>
      <c r="F2" s="2"/>
      <c r="G2" s="2"/>
      <c r="H2" s="2"/>
      <c r="I2" s="3"/>
    </row>
    <row r="3">
      <c r="A3" s="4" t="s">
        <v>0</v>
      </c>
      <c r="E3" s="5" t="s">
        <v>1</v>
      </c>
      <c r="I3" s="6"/>
    </row>
    <row r="4">
      <c r="A4" s="7"/>
      <c r="B4" s="8" t="s">
        <v>2</v>
      </c>
      <c r="I4" s="6"/>
    </row>
    <row r="5">
      <c r="A5" s="7"/>
      <c r="E5" s="9" t="s">
        <v>3</v>
      </c>
      <c r="F5" s="9" t="s">
        <v>4</v>
      </c>
      <c r="G5" s="9" t="s">
        <v>5</v>
      </c>
      <c r="I5" s="6"/>
    </row>
    <row r="6">
      <c r="A6" s="4" t="s">
        <v>6</v>
      </c>
      <c r="C6" s="10" t="s">
        <v>7</v>
      </c>
      <c r="I6" s="6"/>
    </row>
    <row r="7">
      <c r="A7" s="11" t="s">
        <v>8</v>
      </c>
      <c r="B7" s="12">
        <v>65.0003</v>
      </c>
      <c r="C7" s="9" t="s">
        <v>9</v>
      </c>
      <c r="F7" s="50">
        <v>0.0028</v>
      </c>
      <c r="G7" s="13">
        <v>1.0</v>
      </c>
      <c r="I7" s="6"/>
    </row>
    <row r="8">
      <c r="A8" s="11" t="s">
        <v>10</v>
      </c>
      <c r="B8" s="15">
        <v>10.0002</v>
      </c>
      <c r="C8" s="9" t="s">
        <v>9</v>
      </c>
      <c r="E8" s="13">
        <v>0.0</v>
      </c>
      <c r="F8" s="16">
        <v>0.0</v>
      </c>
      <c r="G8" s="13">
        <v>0.0</v>
      </c>
      <c r="I8" s="6"/>
    </row>
    <row r="9">
      <c r="A9" s="11" t="s">
        <v>11</v>
      </c>
      <c r="B9" s="15">
        <v>1.00035</v>
      </c>
      <c r="C9" s="9" t="s">
        <v>9</v>
      </c>
      <c r="E9" s="13">
        <v>1.0</v>
      </c>
      <c r="F9" s="17">
        <v>0.9972</v>
      </c>
      <c r="G9" s="13">
        <v>0.0</v>
      </c>
      <c r="I9" s="6"/>
    </row>
    <row r="10">
      <c r="A10" s="7"/>
      <c r="I10" s="6"/>
    </row>
    <row r="11">
      <c r="A11" s="4" t="s">
        <v>66</v>
      </c>
      <c r="I11" s="6"/>
    </row>
    <row r="12">
      <c r="A12" s="11" t="s">
        <v>67</v>
      </c>
      <c r="B12" s="15">
        <v>5.0</v>
      </c>
      <c r="C12" s="9" t="s">
        <v>9</v>
      </c>
      <c r="E12" s="13">
        <v>0.0</v>
      </c>
      <c r="F12" s="13">
        <v>0.0</v>
      </c>
      <c r="G12" s="13">
        <v>1.0</v>
      </c>
      <c r="I12" s="6"/>
    </row>
    <row r="13">
      <c r="A13" s="7"/>
      <c r="B13" s="18"/>
      <c r="I13" s="6"/>
    </row>
    <row r="14">
      <c r="A14" s="4" t="s">
        <v>68</v>
      </c>
      <c r="B14" s="18"/>
      <c r="C14" s="10" t="s">
        <v>69</v>
      </c>
      <c r="I14" s="6"/>
    </row>
    <row r="15">
      <c r="A15" s="11" t="s">
        <v>67</v>
      </c>
      <c r="B15" s="15">
        <v>20.00012</v>
      </c>
      <c r="C15" s="9" t="s">
        <v>9</v>
      </c>
      <c r="E15" s="13">
        <v>0.0</v>
      </c>
      <c r="F15" s="13">
        <v>0.0</v>
      </c>
      <c r="G15" s="13">
        <v>1.0</v>
      </c>
      <c r="I15" s="6"/>
    </row>
    <row r="16">
      <c r="A16" s="11" t="s">
        <v>70</v>
      </c>
      <c r="B16" s="15">
        <v>1.0006</v>
      </c>
      <c r="C16" s="9" t="s">
        <v>9</v>
      </c>
      <c r="E16" s="13">
        <v>1.0</v>
      </c>
      <c r="F16" s="13">
        <v>1.0</v>
      </c>
      <c r="G16" s="13">
        <v>0.0</v>
      </c>
      <c r="I16" s="6"/>
    </row>
    <row r="17">
      <c r="A17" s="7"/>
      <c r="I17" s="6"/>
    </row>
    <row r="18">
      <c r="A18" s="4" t="s">
        <v>71</v>
      </c>
      <c r="B18" s="51"/>
      <c r="E18" s="52"/>
      <c r="F18" s="52"/>
      <c r="G18" s="52"/>
      <c r="I18" s="6"/>
    </row>
    <row r="19">
      <c r="A19" s="9" t="s">
        <v>8</v>
      </c>
      <c r="B19" s="15">
        <v>300.0</v>
      </c>
      <c r="C19" s="9" t="s">
        <v>9</v>
      </c>
      <c r="E19" s="13">
        <v>0.0</v>
      </c>
      <c r="F19" s="13">
        <v>0.0</v>
      </c>
      <c r="G19" s="13">
        <v>0.143</v>
      </c>
      <c r="I19" s="6"/>
    </row>
    <row r="20">
      <c r="A20" s="9" t="s">
        <v>72</v>
      </c>
      <c r="B20" s="33">
        <v>5.0</v>
      </c>
      <c r="C20" s="9" t="s">
        <v>9</v>
      </c>
      <c r="E20" s="13">
        <v>1.0</v>
      </c>
      <c r="F20" s="13">
        <v>1.0</v>
      </c>
      <c r="G20" s="53">
        <v>0.857</v>
      </c>
      <c r="I20" s="6"/>
    </row>
    <row r="21">
      <c r="I21" s="6"/>
    </row>
    <row r="22">
      <c r="I22" s="6"/>
    </row>
    <row r="23">
      <c r="I23" s="6"/>
    </row>
    <row r="24">
      <c r="A24" s="4" t="s">
        <v>19</v>
      </c>
      <c r="I24" s="6"/>
      <c r="K24" s="1"/>
      <c r="L24" s="2"/>
      <c r="M24" s="2"/>
      <c r="N24" s="2"/>
      <c r="O24" s="2"/>
      <c r="P24" s="2"/>
      <c r="Q24" s="3"/>
    </row>
    <row r="25">
      <c r="A25" s="11" t="s">
        <v>20</v>
      </c>
      <c r="B25" s="33">
        <v>300.0</v>
      </c>
      <c r="C25" s="9" t="s">
        <v>21</v>
      </c>
      <c r="E25" s="13"/>
      <c r="F25" s="13"/>
      <c r="G25" s="13"/>
      <c r="I25" s="6"/>
      <c r="K25" s="7"/>
      <c r="L25" s="36" t="s">
        <v>22</v>
      </c>
      <c r="M25" s="37"/>
      <c r="N25" s="37"/>
      <c r="O25" s="36" t="s">
        <v>23</v>
      </c>
      <c r="P25" s="37"/>
      <c r="Q25" s="6"/>
    </row>
    <row r="26">
      <c r="A26" s="11" t="s">
        <v>24</v>
      </c>
      <c r="B26" s="15">
        <v>5.00002</v>
      </c>
      <c r="C26" s="9" t="s">
        <v>9</v>
      </c>
      <c r="E26" s="13">
        <v>0.0</v>
      </c>
      <c r="F26" s="50">
        <v>0.0028</v>
      </c>
      <c r="G26" s="13">
        <v>1.0</v>
      </c>
      <c r="I26" s="6"/>
      <c r="K26" s="7"/>
      <c r="L26" s="37" t="str">
        <f>E5</f>
        <v>"off"</v>
      </c>
      <c r="M26" s="37">
        <f>SUMPRODUCT(B7:B28, E7:E28)</f>
        <v>7.00095</v>
      </c>
      <c r="N26" s="36" t="s">
        <v>9</v>
      </c>
      <c r="O26" s="38">
        <f t="shared" ref="O26:O28" si="1">$M$31/M26</f>
        <v>1189.124333</v>
      </c>
      <c r="P26" s="36" t="s">
        <v>25</v>
      </c>
      <c r="Q26" s="6"/>
    </row>
    <row r="27">
      <c r="A27" s="11" t="s">
        <v>26</v>
      </c>
      <c r="B27" s="15">
        <v>20.000003</v>
      </c>
      <c r="C27" s="9" t="s">
        <v>9</v>
      </c>
      <c r="E27" s="13">
        <v>0.0</v>
      </c>
      <c r="F27" s="13">
        <v>0.0</v>
      </c>
      <c r="G27" s="13">
        <v>0.0</v>
      </c>
      <c r="I27" s="6"/>
      <c r="K27" s="7"/>
      <c r="L27" s="37" t="str">
        <f>F5</f>
        <v>"sensing"</v>
      </c>
      <c r="M27" s="37">
        <f>SUMPRODUCT(B7:B28, F7:F28)</f>
        <v>7.222149919</v>
      </c>
      <c r="N27" s="36" t="s">
        <v>9</v>
      </c>
      <c r="O27" s="38">
        <f t="shared" si="1"/>
        <v>1152.703848</v>
      </c>
      <c r="P27" s="36" t="s">
        <v>25</v>
      </c>
      <c r="Q27" s="6"/>
    </row>
    <row r="28">
      <c r="A28" s="11" t="s">
        <v>27</v>
      </c>
      <c r="B28" s="15">
        <v>10.000001</v>
      </c>
      <c r="C28" s="9" t="s">
        <v>9</v>
      </c>
      <c r="E28" s="13">
        <v>0.0</v>
      </c>
      <c r="F28" s="17">
        <v>0.0028</v>
      </c>
      <c r="G28" s="13">
        <v>0.0</v>
      </c>
      <c r="I28" s="6"/>
      <c r="K28" s="7"/>
      <c r="L28" s="37" t="str">
        <f>G5</f>
        <v>"interactive"</v>
      </c>
      <c r="M28" s="37">
        <f>SUMPRODUCT(B7:B28, G7:G28)</f>
        <v>142.18544</v>
      </c>
      <c r="N28" s="36" t="s">
        <v>9</v>
      </c>
      <c r="O28" s="38">
        <f t="shared" si="1"/>
        <v>58.55029882</v>
      </c>
      <c r="P28" s="36" t="s">
        <v>25</v>
      </c>
      <c r="Q28" s="6"/>
    </row>
    <row r="29">
      <c r="A29" s="7"/>
      <c r="I29" s="6"/>
      <c r="K29" s="7"/>
      <c r="Q29" s="6"/>
    </row>
    <row r="30">
      <c r="A30" s="4"/>
      <c r="E30" s="33">
        <v>23.0</v>
      </c>
      <c r="F30" s="33">
        <v>0.1</v>
      </c>
      <c r="G30" s="54">
        <v>0.0097</v>
      </c>
      <c r="H30" s="9" t="s">
        <v>28</v>
      </c>
      <c r="I30" s="6"/>
      <c r="K30" s="7"/>
      <c r="L30" s="9" t="s">
        <v>29</v>
      </c>
      <c r="Q30" s="6"/>
    </row>
    <row r="31">
      <c r="A31" s="4" t="s">
        <v>30</v>
      </c>
      <c r="I31" s="6"/>
      <c r="K31" s="7"/>
      <c r="M31" s="41">
        <f>B32*B33*B34</f>
        <v>8325</v>
      </c>
      <c r="N31" s="9" t="s">
        <v>31</v>
      </c>
      <c r="Q31" s="6"/>
    </row>
    <row r="32">
      <c r="A32" s="11" t="s">
        <v>32</v>
      </c>
      <c r="B32" s="15">
        <v>2500.0</v>
      </c>
      <c r="C32" s="9" t="s">
        <v>33</v>
      </c>
      <c r="I32" s="6"/>
      <c r="K32" s="7"/>
      <c r="Q32" s="6"/>
    </row>
    <row r="33">
      <c r="A33" s="11" t="s">
        <v>34</v>
      </c>
      <c r="B33" s="42">
        <v>3.7</v>
      </c>
      <c r="C33" s="9" t="s">
        <v>35</v>
      </c>
      <c r="I33" s="6"/>
      <c r="K33" s="7"/>
      <c r="L33" s="43" t="s">
        <v>36</v>
      </c>
      <c r="M33" s="44">
        <f>M31/(E30*M26+F30*M27+G30*M28)</f>
        <v>51.03502596</v>
      </c>
      <c r="N33" s="43" t="s">
        <v>37</v>
      </c>
      <c r="Q33" s="6"/>
    </row>
    <row r="34">
      <c r="A34" s="11" t="s">
        <v>38</v>
      </c>
      <c r="B34" s="13">
        <v>0.9</v>
      </c>
      <c r="I34" s="6"/>
      <c r="K34" s="7"/>
      <c r="L34" s="43" t="s">
        <v>39</v>
      </c>
      <c r="M34" s="44">
        <f>M33*24</f>
        <v>1224.840623</v>
      </c>
      <c r="N34" s="43" t="s">
        <v>25</v>
      </c>
      <c r="Q34" s="6"/>
    </row>
    <row r="35">
      <c r="A35" s="45"/>
      <c r="B35" s="46"/>
      <c r="C35" s="46"/>
      <c r="D35" s="46"/>
      <c r="E35" s="46"/>
      <c r="F35" s="46"/>
      <c r="G35" s="46"/>
      <c r="H35" s="46"/>
      <c r="I35" s="47"/>
      <c r="K35" s="45"/>
      <c r="L35" s="46"/>
      <c r="M35" s="46"/>
      <c r="N35" s="46"/>
      <c r="O35" s="46"/>
      <c r="P35" s="46"/>
      <c r="Q35" s="47"/>
    </row>
    <row r="37">
      <c r="A37" s="55" t="s">
        <v>40</v>
      </c>
    </row>
    <row r="38">
      <c r="A38" s="56" t="s">
        <v>73</v>
      </c>
      <c r="B38" s="57"/>
      <c r="C38" s="57"/>
      <c r="D38" s="57"/>
    </row>
    <row r="39">
      <c r="A39" s="58" t="s">
        <v>74</v>
      </c>
      <c r="B39" s="57"/>
      <c r="C39" s="57"/>
      <c r="D39" s="57"/>
    </row>
    <row r="40">
      <c r="A40" s="59" t="s">
        <v>75</v>
      </c>
      <c r="B40" s="57"/>
      <c r="C40" s="57"/>
      <c r="D40" s="57"/>
    </row>
    <row r="41">
      <c r="A41" s="59" t="s">
        <v>76</v>
      </c>
      <c r="B41" s="57"/>
      <c r="C41" s="57"/>
      <c r="D41" s="57"/>
    </row>
    <row r="42">
      <c r="A42" s="59" t="s">
        <v>77</v>
      </c>
      <c r="B42" s="57"/>
      <c r="C42" s="57"/>
      <c r="D42" s="57"/>
    </row>
    <row r="43">
      <c r="A43" s="59" t="s">
        <v>78</v>
      </c>
      <c r="B43" s="57"/>
      <c r="C43" s="57"/>
      <c r="D43" s="57"/>
    </row>
    <row r="44">
      <c r="A44" s="59" t="s">
        <v>79</v>
      </c>
      <c r="B44" s="57"/>
      <c r="C44" s="57"/>
      <c r="D44" s="57"/>
    </row>
    <row r="45">
      <c r="A45" s="59" t="s">
        <v>80</v>
      </c>
      <c r="B45" s="57"/>
      <c r="C45" s="57"/>
      <c r="D45" s="57"/>
    </row>
    <row r="46">
      <c r="A46" s="57"/>
      <c r="B46" s="57"/>
      <c r="C46" s="57"/>
      <c r="D46" s="57"/>
    </row>
    <row r="47">
      <c r="A47" s="49" t="s">
        <v>50</v>
      </c>
    </row>
    <row r="48">
      <c r="A48" s="9" t="s">
        <v>81</v>
      </c>
    </row>
    <row r="49">
      <c r="A49" s="9" t="s">
        <v>82</v>
      </c>
    </row>
    <row r="50">
      <c r="A50" s="9" t="s">
        <v>83</v>
      </c>
    </row>
    <row r="51">
      <c r="A51" s="9" t="s">
        <v>84</v>
      </c>
    </row>
    <row r="52">
      <c r="A52" s="9" t="s">
        <v>85</v>
      </c>
    </row>
    <row r="54">
      <c r="A54" s="49" t="s">
        <v>55</v>
      </c>
    </row>
    <row r="55">
      <c r="A55" s="9" t="s">
        <v>56</v>
      </c>
    </row>
    <row r="56">
      <c r="A56" s="9" t="s">
        <v>86</v>
      </c>
    </row>
    <row r="57">
      <c r="A57" s="9" t="s">
        <v>87</v>
      </c>
    </row>
    <row r="58">
      <c r="A58" s="9" t="s">
        <v>88</v>
      </c>
    </row>
    <row r="59">
      <c r="A59" s="9" t="s">
        <v>89</v>
      </c>
    </row>
    <row r="60">
      <c r="A60" s="9" t="s">
        <v>90</v>
      </c>
    </row>
    <row r="62">
      <c r="A62" s="9" t="s">
        <v>61</v>
      </c>
    </row>
    <row r="63">
      <c r="A63" s="9" t="s">
        <v>91</v>
      </c>
    </row>
    <row r="64">
      <c r="A64" s="9" t="s">
        <v>92</v>
      </c>
    </row>
    <row r="65">
      <c r="A65" s="9" t="s">
        <v>93</v>
      </c>
    </row>
    <row r="67">
      <c r="A67" s="9" t="s">
        <v>94</v>
      </c>
    </row>
    <row r="68">
      <c r="A68" s="9" t="s">
        <v>95</v>
      </c>
    </row>
  </sheetData>
  <hyperlinks>
    <hyperlink r:id="rId1" ref="C6"/>
    <hyperlink r:id="rId2" ref="C14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0">
      <c r="A50" s="9" t="s">
        <v>96</v>
      </c>
    </row>
    <row r="52">
      <c r="A52" s="41" t="str">
        <f>'Sensor Unit'!A3</f>
        <v>System Parameters (defined by hardware)</v>
      </c>
      <c r="B52" s="41" t="str">
        <f>'Sensor Unit'!B3</f>
        <v/>
      </c>
      <c r="C52" s="41" t="str">
        <f>'Sensor Unit'!C3</f>
        <v/>
      </c>
      <c r="D52" s="41" t="str">
        <f>'Sensor Unit'!D3</f>
        <v/>
      </c>
      <c r="T52" s="41" t="str">
        <f>'Sensor Unit'!E3</f>
        <v>Profiles (usage of each component mode - defined by software and usage)</v>
      </c>
      <c r="U52" s="41" t="str">
        <f>'Sensor Unit'!F3</f>
        <v/>
      </c>
      <c r="V52" s="41" t="str">
        <f>'Sensor Unit'!G3</f>
        <v/>
      </c>
      <c r="W52" s="41" t="str">
        <f>'Sensor Unit'!H3</f>
        <v/>
      </c>
    </row>
    <row r="53">
      <c r="A53" s="41" t="str">
        <f>'Sensor Unit'!A4</f>
        <v/>
      </c>
      <c r="B53" s="41" t="str">
        <f>'Sensor Unit'!B4</f>
        <v>form the datasheets</v>
      </c>
      <c r="C53" s="41" t="str">
        <f>'Sensor Unit'!C4</f>
        <v/>
      </c>
      <c r="D53" s="41" t="str">
        <f>'Sensor Unit'!D4</f>
        <v/>
      </c>
      <c r="T53" s="41" t="str">
        <f>'Sensor Unit'!E4</f>
        <v/>
      </c>
      <c r="U53" s="41" t="str">
        <f>'Sensor Unit'!F4</f>
        <v/>
      </c>
      <c r="V53" s="41" t="str">
        <f>'Sensor Unit'!G4</f>
        <v/>
      </c>
      <c r="W53" s="41" t="str">
        <f>'Sensor Unit'!H4</f>
        <v/>
      </c>
    </row>
    <row r="54">
      <c r="A54" s="41" t="str">
        <f>'Sensor Unit'!A5</f>
        <v/>
      </c>
      <c r="B54" s="41" t="str">
        <f>'Sensor Unit'!B5</f>
        <v/>
      </c>
      <c r="C54" s="41" t="str">
        <f>'Sensor Unit'!C5</f>
        <v/>
      </c>
      <c r="D54" s="41" t="str">
        <f>'Sensor Unit'!D5</f>
        <v/>
      </c>
      <c r="T54" s="41" t="str">
        <f>'Sensor Unit'!E5</f>
        <v>"off"</v>
      </c>
      <c r="U54" s="41" t="str">
        <f>'Sensor Unit'!F5</f>
        <v>"sensing"</v>
      </c>
      <c r="V54" s="41" t="str">
        <f>'Sensor Unit'!G5</f>
        <v>"interactive"</v>
      </c>
      <c r="W54" s="41" t="str">
        <f>'Sensor Unit'!H5</f>
        <v/>
      </c>
    </row>
    <row r="55">
      <c r="A55" s="41" t="str">
        <f>'Sensor Unit'!A6</f>
        <v>Processor</v>
      </c>
      <c r="B55" s="60" t="str">
        <f>'Sensor Unit'!B6</f>
        <v>https://github.com/liziying115-dev/Sleep-Environment-Recovery-Monitor/blob/main/datasheets/esp32-c3_datasheet.pdf</v>
      </c>
      <c r="C55" s="41" t="str">
        <f>'Sensor Unit'!C6</f>
        <v/>
      </c>
      <c r="D55" s="41" t="str">
        <f>'Sensor Unit'!D6</f>
        <v/>
      </c>
      <c r="T55" s="41" t="str">
        <f>'Sensor Unit'!E6</f>
        <v/>
      </c>
      <c r="U55" s="41" t="str">
        <f>'Sensor Unit'!F6</f>
        <v/>
      </c>
      <c r="V55" s="41" t="str">
        <f>'Sensor Unit'!G6</f>
        <v/>
      </c>
      <c r="W55" s="41" t="str">
        <f>'Sensor Unit'!H6</f>
        <v/>
      </c>
    </row>
    <row r="56">
      <c r="A56" s="41" t="str">
        <f>'Sensor Unit'!A7</f>
        <v>Active</v>
      </c>
      <c r="B56" s="18">
        <f>'Sensor Unit'!B7</f>
        <v>65.0003</v>
      </c>
      <c r="C56" s="41" t="str">
        <f>'Sensor Unit'!C7</f>
        <v>mW</v>
      </c>
      <c r="D56" s="41">
        <f>$B56*0.9</f>
        <v>58.50027</v>
      </c>
      <c r="E56" s="18">
        <f t="shared" ref="E56:O56" si="1">$B56</f>
        <v>65.0003</v>
      </c>
      <c r="F56" s="18">
        <f t="shared" si="1"/>
        <v>65.0003</v>
      </c>
      <c r="G56" s="18">
        <f t="shared" si="1"/>
        <v>65.0003</v>
      </c>
      <c r="H56" s="18">
        <f t="shared" si="1"/>
        <v>65.0003</v>
      </c>
      <c r="I56" s="18">
        <f t="shared" si="1"/>
        <v>65.0003</v>
      </c>
      <c r="J56" s="18">
        <f t="shared" si="1"/>
        <v>65.0003</v>
      </c>
      <c r="K56" s="18">
        <f t="shared" si="1"/>
        <v>65.0003</v>
      </c>
      <c r="L56" s="18">
        <f t="shared" si="1"/>
        <v>65.0003</v>
      </c>
      <c r="M56" s="18">
        <f t="shared" si="1"/>
        <v>65.0003</v>
      </c>
      <c r="N56" s="18">
        <f t="shared" si="1"/>
        <v>65.0003</v>
      </c>
      <c r="O56" s="18">
        <f t="shared" si="1"/>
        <v>65.0003</v>
      </c>
      <c r="T56" s="61">
        <f>'Sensor Unit'!E7</f>
        <v>0</v>
      </c>
      <c r="U56" s="31">
        <f>'Sensor Unit'!F7</f>
        <v>0.0167</v>
      </c>
      <c r="V56" s="61">
        <f>'Sensor Unit'!G7</f>
        <v>1</v>
      </c>
      <c r="W56" s="41" t="str">
        <f>'Sensor Unit'!H7</f>
        <v/>
      </c>
    </row>
    <row r="57">
      <c r="A57" s="41" t="str">
        <f>'Sensor Unit'!A8</f>
        <v>Idle</v>
      </c>
      <c r="B57" s="18">
        <f>'Sensor Unit'!B8</f>
        <v>10.0002</v>
      </c>
      <c r="C57" s="41" t="str">
        <f>'Sensor Unit'!C8</f>
        <v>mW</v>
      </c>
      <c r="D57" s="18">
        <f t="shared" ref="D57:D59" si="3">$B57</f>
        <v>10.0002</v>
      </c>
      <c r="E57" s="41">
        <f>$B57*0.9</f>
        <v>9.00018</v>
      </c>
      <c r="F57" s="18">
        <f t="shared" ref="F57:O57" si="2">$B57</f>
        <v>10.0002</v>
      </c>
      <c r="G57" s="18">
        <f t="shared" si="2"/>
        <v>10.0002</v>
      </c>
      <c r="H57" s="18">
        <f t="shared" si="2"/>
        <v>10.0002</v>
      </c>
      <c r="I57" s="18">
        <f t="shared" si="2"/>
        <v>10.0002</v>
      </c>
      <c r="J57" s="18">
        <f t="shared" si="2"/>
        <v>10.0002</v>
      </c>
      <c r="K57" s="18">
        <f t="shared" si="2"/>
        <v>10.0002</v>
      </c>
      <c r="L57" s="18">
        <f t="shared" si="2"/>
        <v>10.0002</v>
      </c>
      <c r="M57" s="18">
        <f t="shared" si="2"/>
        <v>10.0002</v>
      </c>
      <c r="N57" s="18">
        <f t="shared" si="2"/>
        <v>10.0002</v>
      </c>
      <c r="O57" s="18">
        <f t="shared" si="2"/>
        <v>10.0002</v>
      </c>
      <c r="T57" s="61">
        <f>'Sensor Unit'!E8</f>
        <v>0</v>
      </c>
      <c r="U57" s="61">
        <f>'Sensor Unit'!F8</f>
        <v>0</v>
      </c>
      <c r="V57" s="61">
        <f>'Sensor Unit'!G8</f>
        <v>0</v>
      </c>
      <c r="W57" s="41" t="str">
        <f>'Sensor Unit'!H8</f>
        <v/>
      </c>
    </row>
    <row r="58">
      <c r="A58" s="41" t="str">
        <f>'Sensor Unit'!A9</f>
        <v>Sleep</v>
      </c>
      <c r="B58" s="18">
        <f>'Sensor Unit'!B9</f>
        <v>1.00035</v>
      </c>
      <c r="C58" s="41" t="str">
        <f>'Sensor Unit'!C9</f>
        <v>mW</v>
      </c>
      <c r="D58" s="18">
        <f t="shared" si="3"/>
        <v>1.00035</v>
      </c>
      <c r="E58" s="18">
        <f t="shared" ref="E58:E59" si="5">$B58</f>
        <v>1.00035</v>
      </c>
      <c r="F58" s="41">
        <f>$B58*0.9</f>
        <v>0.900315</v>
      </c>
      <c r="G58" s="18">
        <f t="shared" ref="G58:O58" si="4">$B58</f>
        <v>1.00035</v>
      </c>
      <c r="H58" s="18">
        <f t="shared" si="4"/>
        <v>1.00035</v>
      </c>
      <c r="I58" s="18">
        <f t="shared" si="4"/>
        <v>1.00035</v>
      </c>
      <c r="J58" s="18">
        <f t="shared" si="4"/>
        <v>1.00035</v>
      </c>
      <c r="K58" s="18">
        <f t="shared" si="4"/>
        <v>1.00035</v>
      </c>
      <c r="L58" s="18">
        <f t="shared" si="4"/>
        <v>1.00035</v>
      </c>
      <c r="M58" s="18">
        <f t="shared" si="4"/>
        <v>1.00035</v>
      </c>
      <c r="N58" s="18">
        <f t="shared" si="4"/>
        <v>1.00035</v>
      </c>
      <c r="O58" s="18">
        <f t="shared" si="4"/>
        <v>1.00035</v>
      </c>
      <c r="T58" s="61">
        <f>'Sensor Unit'!E9</f>
        <v>1</v>
      </c>
      <c r="U58" s="31">
        <f>'Sensor Unit'!F9</f>
        <v>0.9833</v>
      </c>
      <c r="V58" s="61">
        <f>'Sensor Unit'!G9</f>
        <v>0</v>
      </c>
      <c r="W58" s="41" t="str">
        <f>'Sensor Unit'!H9</f>
        <v/>
      </c>
    </row>
    <row r="59">
      <c r="A59" s="41" t="str">
        <f>'Sensor Unit'!A10</f>
        <v/>
      </c>
      <c r="B59" s="41" t="str">
        <f>'Sensor Unit'!B10</f>
        <v/>
      </c>
      <c r="C59" s="41" t="str">
        <f>'Sensor Unit'!C10</f>
        <v/>
      </c>
      <c r="D59" s="41" t="str">
        <f t="shared" si="3"/>
        <v/>
      </c>
      <c r="E59" s="41" t="str">
        <f t="shared" si="5"/>
        <v/>
      </c>
      <c r="F59" s="41" t="str">
        <f t="shared" ref="F59:O59" si="6">$B59</f>
        <v/>
      </c>
      <c r="G59" s="41" t="str">
        <f t="shared" si="6"/>
        <v/>
      </c>
      <c r="H59" s="41" t="str">
        <f t="shared" si="6"/>
        <v/>
      </c>
      <c r="I59" s="41" t="str">
        <f t="shared" si="6"/>
        <v/>
      </c>
      <c r="J59" s="41" t="str">
        <f t="shared" si="6"/>
        <v/>
      </c>
      <c r="K59" s="41" t="str">
        <f t="shared" si="6"/>
        <v/>
      </c>
      <c r="L59" s="41" t="str">
        <f t="shared" si="6"/>
        <v/>
      </c>
      <c r="M59" s="41" t="str">
        <f t="shared" si="6"/>
        <v/>
      </c>
      <c r="N59" s="41" t="str">
        <f t="shared" si="6"/>
        <v/>
      </c>
      <c r="O59" s="41" t="str">
        <f t="shared" si="6"/>
        <v/>
      </c>
      <c r="T59" s="41" t="str">
        <f>'Sensor Unit'!E10</f>
        <v/>
      </c>
      <c r="U59" s="41" t="str">
        <f>'Sensor Unit'!F10</f>
        <v/>
      </c>
      <c r="V59" s="41" t="str">
        <f>'Sensor Unit'!G10</f>
        <v/>
      </c>
      <c r="W59" s="41" t="str">
        <f>'Sensor Unit'!H10</f>
        <v/>
      </c>
    </row>
    <row r="60">
      <c r="W60" s="41" t="str">
        <f>'Sensor Unit'!H11</f>
        <v/>
      </c>
    </row>
    <row r="61">
      <c r="W61" s="41" t="str">
        <f>'Sensor Unit'!H12</f>
        <v/>
      </c>
    </row>
    <row r="62">
      <c r="W62" s="41" t="str">
        <f>'Sensor Unit'!H13</f>
        <v/>
      </c>
    </row>
    <row r="63">
      <c r="W63" s="41" t="str">
        <f>'Sensor Unit'!H14</f>
        <v/>
      </c>
    </row>
    <row r="64">
      <c r="A64" s="41" t="str">
        <f>'Sensor Unit'!A11</f>
        <v>Sensor</v>
      </c>
      <c r="B64" s="18" t="str">
        <f>'Sensor Unit'!B11</f>
        <v/>
      </c>
      <c r="C64" s="41" t="str">
        <f>'Sensor Unit'!C11</f>
        <v/>
      </c>
      <c r="D64" s="18" t="str">
        <f t="shared" ref="D64:O64" si="7">$B64</f>
        <v/>
      </c>
      <c r="E64" s="18" t="str">
        <f t="shared" si="7"/>
        <v/>
      </c>
      <c r="F64" s="18" t="str">
        <f t="shared" si="7"/>
        <v/>
      </c>
      <c r="G64" s="18" t="str">
        <f t="shared" si="7"/>
        <v/>
      </c>
      <c r="H64" s="18" t="str">
        <f t="shared" si="7"/>
        <v/>
      </c>
      <c r="I64" s="18" t="str">
        <f t="shared" si="7"/>
        <v/>
      </c>
      <c r="J64" s="18" t="str">
        <f t="shared" si="7"/>
        <v/>
      </c>
      <c r="K64" s="18" t="str">
        <f t="shared" si="7"/>
        <v/>
      </c>
      <c r="L64" s="18" t="str">
        <f t="shared" si="7"/>
        <v/>
      </c>
      <c r="M64" s="18" t="str">
        <f t="shared" si="7"/>
        <v/>
      </c>
      <c r="N64" s="18" t="str">
        <f t="shared" si="7"/>
        <v/>
      </c>
      <c r="O64" s="18" t="str">
        <f t="shared" si="7"/>
        <v/>
      </c>
      <c r="T64" s="41" t="str">
        <f>'Sensor Unit'!E11</f>
        <v/>
      </c>
      <c r="U64" s="41" t="str">
        <f>'Sensor Unit'!F11</f>
        <v/>
      </c>
      <c r="V64" s="41" t="str">
        <f>'Sensor Unit'!G11</f>
        <v/>
      </c>
      <c r="W64" s="41" t="str">
        <f>'Sensor Unit'!H15</f>
        <v/>
      </c>
    </row>
    <row r="65">
      <c r="A65" s="41" t="str">
        <f>'Sensor Unit'!A12</f>
        <v>BME280 (Temp/Humid/Press)</v>
      </c>
      <c r="B65" s="62" t="str">
        <f>'Sensor Unit'!B12</f>
        <v>https://github.com/liziying115-dev/Sleep-Environment-Recovery-Monitor/blob/main/datasheets/bme280_datasheet.pdf</v>
      </c>
      <c r="C65" s="41" t="str">
        <f>'Sensor Unit'!C12</f>
        <v/>
      </c>
      <c r="D65" s="62" t="str">
        <f t="shared" ref="D65:G65" si="8">$B65</f>
        <v>https://github.com/liziying115-dev/Sleep-Environment-Recovery-Monitor/blob/main/datasheets/bme280_datasheet.pdf</v>
      </c>
      <c r="E65" s="62" t="str">
        <f t="shared" si="8"/>
        <v>https://github.com/liziying115-dev/Sleep-Environment-Recovery-Monitor/blob/main/datasheets/bme280_datasheet.pdf</v>
      </c>
      <c r="F65" s="62" t="str">
        <f t="shared" si="8"/>
        <v>https://github.com/liziying115-dev/Sleep-Environment-Recovery-Monitor/blob/main/datasheets/bme280_datasheet.pdf</v>
      </c>
      <c r="G65" s="62" t="str">
        <f t="shared" si="8"/>
        <v>https://github.com/liziying115-dev/Sleep-Environment-Recovery-Monitor/blob/main/datasheets/bme280_datasheet.pdf</v>
      </c>
      <c r="H65" s="41" t="str">
        <f>$B65*0.9</f>
        <v>#VALUE!</v>
      </c>
      <c r="I65" s="62" t="str">
        <f t="shared" ref="I65:O65" si="9">$B65</f>
        <v>https://github.com/liziying115-dev/Sleep-Environment-Recovery-Monitor/blob/main/datasheets/bme280_datasheet.pdf</v>
      </c>
      <c r="J65" s="62" t="str">
        <f t="shared" si="9"/>
        <v>https://github.com/liziying115-dev/Sleep-Environment-Recovery-Monitor/blob/main/datasheets/bme280_datasheet.pdf</v>
      </c>
      <c r="K65" s="62" t="str">
        <f t="shared" si="9"/>
        <v>https://github.com/liziying115-dev/Sleep-Environment-Recovery-Monitor/blob/main/datasheets/bme280_datasheet.pdf</v>
      </c>
      <c r="L65" s="62" t="str">
        <f t="shared" si="9"/>
        <v>https://github.com/liziying115-dev/Sleep-Environment-Recovery-Monitor/blob/main/datasheets/bme280_datasheet.pdf</v>
      </c>
      <c r="M65" s="62" t="str">
        <f t="shared" si="9"/>
        <v>https://github.com/liziying115-dev/Sleep-Environment-Recovery-Monitor/blob/main/datasheets/bme280_datasheet.pdf</v>
      </c>
      <c r="N65" s="62" t="str">
        <f t="shared" si="9"/>
        <v>https://github.com/liziying115-dev/Sleep-Environment-Recovery-Monitor/blob/main/datasheets/bme280_datasheet.pdf</v>
      </c>
      <c r="O65" s="62" t="str">
        <f t="shared" si="9"/>
        <v>https://github.com/liziying115-dev/Sleep-Environment-Recovery-Monitor/blob/main/datasheets/bme280_datasheet.pdf</v>
      </c>
      <c r="T65" s="61" t="str">
        <f>'Sensor Unit'!E12</f>
        <v/>
      </c>
      <c r="U65" s="63" t="str">
        <f>'Sensor Unit'!F12</f>
        <v/>
      </c>
      <c r="V65" s="61" t="str">
        <f>'Sensor Unit'!G12</f>
        <v/>
      </c>
      <c r="W65" s="41" t="str">
        <f>'Sensor Unit'!H16</f>
        <v/>
      </c>
    </row>
    <row r="66">
      <c r="A66" s="41" t="str">
        <f>'Sensor Unit'!A13</f>
        <v>Active</v>
      </c>
      <c r="B66" s="18">
        <f>'Sensor Unit'!B13</f>
        <v>5</v>
      </c>
      <c r="C66" s="41" t="str">
        <f>'Sensor Unit'!C13</f>
        <v>mW</v>
      </c>
      <c r="D66" s="18">
        <f t="shared" ref="D66:H66" si="10">$B66</f>
        <v>5</v>
      </c>
      <c r="E66" s="18">
        <f t="shared" si="10"/>
        <v>5</v>
      </c>
      <c r="F66" s="18">
        <f t="shared" si="10"/>
        <v>5</v>
      </c>
      <c r="G66" s="18">
        <f t="shared" si="10"/>
        <v>5</v>
      </c>
      <c r="H66" s="18">
        <f t="shared" si="10"/>
        <v>5</v>
      </c>
      <c r="I66" s="41">
        <f>$B66*0.9</f>
        <v>4.5</v>
      </c>
      <c r="J66" s="18">
        <f t="shared" ref="J66:O66" si="11">$B66</f>
        <v>5</v>
      </c>
      <c r="K66" s="18">
        <f t="shared" si="11"/>
        <v>5</v>
      </c>
      <c r="L66" s="18">
        <f t="shared" si="11"/>
        <v>5</v>
      </c>
      <c r="M66" s="18">
        <f t="shared" si="11"/>
        <v>5</v>
      </c>
      <c r="N66" s="18">
        <f t="shared" si="11"/>
        <v>5</v>
      </c>
      <c r="O66" s="18">
        <f t="shared" si="11"/>
        <v>5</v>
      </c>
      <c r="T66" s="61">
        <f>'Sensor Unit'!E13</f>
        <v>0</v>
      </c>
      <c r="U66" s="63">
        <f>'Sensor Unit'!F13</f>
        <v>0.0167</v>
      </c>
      <c r="V66" s="61">
        <f>'Sensor Unit'!G13</f>
        <v>1</v>
      </c>
      <c r="W66" s="31" t="str">
        <f>'Sensor Unit'!H17</f>
        <v/>
      </c>
    </row>
    <row r="67">
      <c r="A67" s="41" t="str">
        <f>'Sensor Unit'!A14</f>
        <v>Idle</v>
      </c>
      <c r="B67" s="64">
        <f>'Sensor Unit'!B14</f>
        <v>0.0003</v>
      </c>
      <c r="C67" s="41" t="str">
        <f>'Sensor Unit'!C14</f>
        <v>mW</v>
      </c>
      <c r="D67" s="64">
        <f t="shared" ref="D67:I67" si="12">$B67</f>
        <v>0.0003</v>
      </c>
      <c r="E67" s="64">
        <f t="shared" si="12"/>
        <v>0.0003</v>
      </c>
      <c r="F67" s="64">
        <f t="shared" si="12"/>
        <v>0.0003</v>
      </c>
      <c r="G67" s="64">
        <f t="shared" si="12"/>
        <v>0.0003</v>
      </c>
      <c r="H67" s="64">
        <f t="shared" si="12"/>
        <v>0.0003</v>
      </c>
      <c r="I67" s="64">
        <f t="shared" si="12"/>
        <v>0.0003</v>
      </c>
      <c r="J67" s="41">
        <f>$B67*0.9</f>
        <v>0.00027</v>
      </c>
      <c r="K67" s="64">
        <f t="shared" ref="K67:O67" si="13">$B67</f>
        <v>0.0003</v>
      </c>
      <c r="L67" s="64">
        <f t="shared" si="13"/>
        <v>0.0003</v>
      </c>
      <c r="M67" s="64">
        <f t="shared" si="13"/>
        <v>0.0003</v>
      </c>
      <c r="N67" s="64">
        <f t="shared" si="13"/>
        <v>0.0003</v>
      </c>
      <c r="O67" s="64">
        <f t="shared" si="13"/>
        <v>0.0003</v>
      </c>
      <c r="T67" s="61">
        <f>'Sensor Unit'!E14</f>
        <v>1</v>
      </c>
      <c r="U67" s="31">
        <f>'Sensor Unit'!F14</f>
        <v>0.9833</v>
      </c>
      <c r="V67" s="61">
        <f>'Sensor Unit'!G14</f>
        <v>0</v>
      </c>
      <c r="W67" s="41" t="str">
        <f>'Sensor Unit'!H18</f>
        <v/>
      </c>
    </row>
    <row r="68">
      <c r="A68" s="41" t="str">
        <f>'Sensor Unit'!A16</f>
        <v>VEML7700 (Light Sensor)</v>
      </c>
    </row>
    <row r="69">
      <c r="A69" s="41" t="str">
        <f>'Sensor Unit'!A17</f>
        <v>Active</v>
      </c>
      <c r="B69" s="18">
        <f>'Sensor Unit'!B17</f>
        <v>5</v>
      </c>
      <c r="C69" s="41" t="str">
        <f>'Sensor Unit'!C17</f>
        <v>mW</v>
      </c>
      <c r="D69" s="18">
        <f t="shared" ref="D69:O69" si="14">$B69</f>
        <v>5</v>
      </c>
      <c r="E69" s="18">
        <f t="shared" si="14"/>
        <v>5</v>
      </c>
      <c r="F69" s="18">
        <f t="shared" si="14"/>
        <v>5</v>
      </c>
      <c r="G69" s="18">
        <f t="shared" si="14"/>
        <v>5</v>
      </c>
      <c r="H69" s="18">
        <f t="shared" si="14"/>
        <v>5</v>
      </c>
      <c r="I69" s="18">
        <f t="shared" si="14"/>
        <v>5</v>
      </c>
      <c r="J69" s="18">
        <f t="shared" si="14"/>
        <v>5</v>
      </c>
      <c r="K69" s="18">
        <f t="shared" si="14"/>
        <v>5</v>
      </c>
      <c r="L69" s="18">
        <f t="shared" si="14"/>
        <v>5</v>
      </c>
      <c r="M69" s="18">
        <f t="shared" si="14"/>
        <v>5</v>
      </c>
      <c r="N69" s="18">
        <f t="shared" si="14"/>
        <v>5</v>
      </c>
      <c r="O69" s="18">
        <f t="shared" si="14"/>
        <v>5</v>
      </c>
      <c r="T69" s="61">
        <f>'Sensor Unit'!E17</f>
        <v>0</v>
      </c>
      <c r="U69" s="31">
        <f>'Sensor Unit'!F17</f>
        <v>0.0167</v>
      </c>
      <c r="V69" s="31">
        <f>'Sensor Unit'!G17</f>
        <v>1</v>
      </c>
      <c r="W69" s="41" t="str">
        <f>'Sensor Unit'!H20</f>
        <v/>
      </c>
    </row>
    <row r="70">
      <c r="A70" s="41" t="str">
        <f>'Sensor Unit'!A18</f>
        <v>Idle</v>
      </c>
      <c r="B70" s="65">
        <f>'Sensor Unit'!B18</f>
        <v>0.5</v>
      </c>
      <c r="C70" s="41" t="str">
        <f>'Sensor Unit'!C18</f>
        <v>mW</v>
      </c>
      <c r="D70" s="65">
        <f t="shared" ref="D70:J70" si="15">$B70</f>
        <v>0.5</v>
      </c>
      <c r="E70" s="65">
        <f t="shared" si="15"/>
        <v>0.5</v>
      </c>
      <c r="F70" s="65">
        <f t="shared" si="15"/>
        <v>0.5</v>
      </c>
      <c r="G70" s="65">
        <f t="shared" si="15"/>
        <v>0.5</v>
      </c>
      <c r="H70" s="65">
        <f t="shared" si="15"/>
        <v>0.5</v>
      </c>
      <c r="I70" s="65">
        <f t="shared" si="15"/>
        <v>0.5</v>
      </c>
      <c r="J70" s="65">
        <f t="shared" si="15"/>
        <v>0.5</v>
      </c>
      <c r="K70" s="41">
        <f>$B70*0.9</f>
        <v>0.45</v>
      </c>
      <c r="L70" s="65">
        <f t="shared" ref="L70:O70" si="16">$B70</f>
        <v>0.5</v>
      </c>
      <c r="M70" s="65">
        <f t="shared" si="16"/>
        <v>0.5</v>
      </c>
      <c r="N70" s="65">
        <f t="shared" si="16"/>
        <v>0.5</v>
      </c>
      <c r="O70" s="65">
        <f t="shared" si="16"/>
        <v>0.5</v>
      </c>
      <c r="T70" s="61">
        <f>'Sensor Unit'!E18</f>
        <v>1</v>
      </c>
      <c r="U70" s="31">
        <f>'Sensor Unit'!F18</f>
        <v>0.9833</v>
      </c>
      <c r="V70" s="61">
        <f>'Sensor Unit'!G18</f>
        <v>0</v>
      </c>
      <c r="W70" s="41" t="str">
        <f>'Sensor Unit'!H21</f>
        <v/>
      </c>
    </row>
    <row r="71">
      <c r="A71" s="41" t="str">
        <f>'Sensor Unit'!A20</f>
        <v>SPH0645LM4H-B (Microphone)</v>
      </c>
      <c r="N71" s="41" t="str">
        <f t="shared" ref="N71:O71" si="17">$B71</f>
        <v/>
      </c>
      <c r="O71" s="41" t="str">
        <f t="shared" si="17"/>
        <v/>
      </c>
    </row>
    <row r="72">
      <c r="A72" s="41" t="str">
        <f>'Sensor Unit'!A21</f>
        <v>Active</v>
      </c>
      <c r="B72" s="18">
        <f>'Sensor Unit'!B21</f>
        <v>5</v>
      </c>
      <c r="C72" s="41" t="str">
        <f>'Sensor Unit'!C21</f>
        <v>mW</v>
      </c>
      <c r="D72" s="18">
        <f t="shared" ref="D72:O72" si="18">$B72</f>
        <v>5</v>
      </c>
      <c r="E72" s="18">
        <f t="shared" si="18"/>
        <v>5</v>
      </c>
      <c r="F72" s="18">
        <f t="shared" si="18"/>
        <v>5</v>
      </c>
      <c r="G72" s="18">
        <f t="shared" si="18"/>
        <v>5</v>
      </c>
      <c r="H72" s="18">
        <f t="shared" si="18"/>
        <v>5</v>
      </c>
      <c r="I72" s="18">
        <f t="shared" si="18"/>
        <v>5</v>
      </c>
      <c r="J72" s="18">
        <f t="shared" si="18"/>
        <v>5</v>
      </c>
      <c r="K72" s="18">
        <f t="shared" si="18"/>
        <v>5</v>
      </c>
      <c r="L72" s="18">
        <f t="shared" si="18"/>
        <v>5</v>
      </c>
      <c r="M72" s="18">
        <f t="shared" si="18"/>
        <v>5</v>
      </c>
      <c r="N72" s="18">
        <f t="shared" si="18"/>
        <v>5</v>
      </c>
      <c r="O72" s="18">
        <f t="shared" si="18"/>
        <v>5</v>
      </c>
      <c r="T72" s="61">
        <f>'Sensor Unit'!E21</f>
        <v>0</v>
      </c>
      <c r="U72" s="31">
        <f>'Sensor Unit'!F21</f>
        <v>0.0167</v>
      </c>
      <c r="V72" s="61">
        <f>'Sensor Unit'!G21</f>
        <v>1</v>
      </c>
      <c r="W72" s="41" t="str">
        <f>'Sensor Unit'!H23</f>
        <v/>
      </c>
    </row>
    <row r="73">
      <c r="A73" s="41" t="str">
        <f>'Sensor Unit'!A22</f>
        <v>Idle</v>
      </c>
      <c r="B73" s="9">
        <v>0.1</v>
      </c>
      <c r="C73" s="41" t="str">
        <f>'Sensor Unit'!C21</f>
        <v>mW</v>
      </c>
      <c r="D73" s="41">
        <f t="shared" ref="D73:O73" si="19">$B73</f>
        <v>0.1</v>
      </c>
      <c r="E73" s="41">
        <f t="shared" si="19"/>
        <v>0.1</v>
      </c>
      <c r="F73" s="41">
        <f t="shared" si="19"/>
        <v>0.1</v>
      </c>
      <c r="G73" s="41">
        <f t="shared" si="19"/>
        <v>0.1</v>
      </c>
      <c r="H73" s="41">
        <f t="shared" si="19"/>
        <v>0.1</v>
      </c>
      <c r="I73" s="41">
        <f t="shared" si="19"/>
        <v>0.1</v>
      </c>
      <c r="J73" s="41">
        <f t="shared" si="19"/>
        <v>0.1</v>
      </c>
      <c r="K73" s="41">
        <f t="shared" si="19"/>
        <v>0.1</v>
      </c>
      <c r="L73" s="41">
        <f t="shared" si="19"/>
        <v>0.1</v>
      </c>
      <c r="M73" s="41">
        <f t="shared" si="19"/>
        <v>0.1</v>
      </c>
      <c r="N73" s="41">
        <f t="shared" si="19"/>
        <v>0.1</v>
      </c>
      <c r="O73" s="41">
        <f t="shared" si="19"/>
        <v>0.1</v>
      </c>
      <c r="T73" s="61" t="str">
        <f>'Sensor Unit'!E23</f>
        <v/>
      </c>
      <c r="U73" s="61" t="str">
        <f>'Sensor Unit'!F23</f>
        <v/>
      </c>
      <c r="V73" s="61" t="str">
        <f>'Sensor Unit'!G23</f>
        <v/>
      </c>
      <c r="W73" s="41" t="str">
        <f>'Sensor Unit'!H24</f>
        <v/>
      </c>
    </row>
    <row r="74">
      <c r="A74" s="41" t="str">
        <f>'Sensor Unit'!A26</f>
        <v>Standby Power</v>
      </c>
      <c r="B74" s="18">
        <f>'Sensor Unit'!B26</f>
        <v>5.00002</v>
      </c>
      <c r="C74" s="41" t="str">
        <f>'Sensor Unit'!C26</f>
        <v>mW</v>
      </c>
      <c r="D74" s="18">
        <f t="shared" ref="D74:L74" si="20">$B74</f>
        <v>5.00002</v>
      </c>
      <c r="E74" s="18">
        <f t="shared" si="20"/>
        <v>5.00002</v>
      </c>
      <c r="F74" s="18">
        <f t="shared" si="20"/>
        <v>5.00002</v>
      </c>
      <c r="G74" s="18">
        <f t="shared" si="20"/>
        <v>5.00002</v>
      </c>
      <c r="H74" s="18">
        <f t="shared" si="20"/>
        <v>5.00002</v>
      </c>
      <c r="I74" s="18">
        <f t="shared" si="20"/>
        <v>5.00002</v>
      </c>
      <c r="J74" s="18">
        <f t="shared" si="20"/>
        <v>5.00002</v>
      </c>
      <c r="K74" s="18">
        <f t="shared" si="20"/>
        <v>5.00002</v>
      </c>
      <c r="L74" s="18">
        <f t="shared" si="20"/>
        <v>5.00002</v>
      </c>
      <c r="M74" s="41">
        <f>$B74*0.9</f>
        <v>4.500018</v>
      </c>
      <c r="N74" s="18">
        <f t="shared" ref="N74:O74" si="21">$B74</f>
        <v>5.00002</v>
      </c>
      <c r="O74" s="18">
        <f t="shared" si="21"/>
        <v>5.00002</v>
      </c>
      <c r="T74" s="61">
        <f>'Sensor Unit'!E26</f>
        <v>0</v>
      </c>
      <c r="U74" s="31">
        <f>'Sensor Unit'!F26</f>
        <v>0.0167</v>
      </c>
      <c r="V74" s="61">
        <f>'Sensor Unit'!G26</f>
        <v>0</v>
      </c>
      <c r="W74" s="41" t="str">
        <f>'Sensor Unit'!H26</f>
        <v/>
      </c>
    </row>
    <row r="75">
      <c r="A75" s="41" t="str">
        <f>'Sensor Unit'!A27</f>
        <v>TX Power</v>
      </c>
      <c r="B75" s="18">
        <f>'Sensor Unit'!B27</f>
        <v>20.000003</v>
      </c>
      <c r="C75" s="41" t="str">
        <f>'Sensor Unit'!C27</f>
        <v>mW</v>
      </c>
      <c r="D75" s="18">
        <f t="shared" ref="D75:M75" si="22">$B75</f>
        <v>20.000003</v>
      </c>
      <c r="E75" s="18">
        <f t="shared" si="22"/>
        <v>20.000003</v>
      </c>
      <c r="F75" s="18">
        <f t="shared" si="22"/>
        <v>20.000003</v>
      </c>
      <c r="G75" s="18">
        <f t="shared" si="22"/>
        <v>20.000003</v>
      </c>
      <c r="H75" s="18">
        <f t="shared" si="22"/>
        <v>20.000003</v>
      </c>
      <c r="I75" s="18">
        <f t="shared" si="22"/>
        <v>20.000003</v>
      </c>
      <c r="J75" s="18">
        <f t="shared" si="22"/>
        <v>20.000003</v>
      </c>
      <c r="K75" s="18">
        <f t="shared" si="22"/>
        <v>20.000003</v>
      </c>
      <c r="L75" s="18">
        <f t="shared" si="22"/>
        <v>20.000003</v>
      </c>
      <c r="M75" s="18">
        <f t="shared" si="22"/>
        <v>20.000003</v>
      </c>
      <c r="N75" s="41">
        <f>$B75*0.9</f>
        <v>18.0000027</v>
      </c>
      <c r="O75" s="18">
        <f>$B75</f>
        <v>20.000003</v>
      </c>
      <c r="T75" s="61">
        <f>'Sensor Unit'!E27</f>
        <v>0</v>
      </c>
      <c r="U75" s="61">
        <f>'Sensor Unit'!F27</f>
        <v>0</v>
      </c>
      <c r="V75" s="61">
        <f>'Sensor Unit'!G27</f>
        <v>1</v>
      </c>
      <c r="W75" s="41" t="str">
        <f>'Sensor Unit'!H27</f>
        <v/>
      </c>
    </row>
    <row r="76">
      <c r="A76" s="41" t="str">
        <f>'Sensor Unit'!A28</f>
        <v>RX Power</v>
      </c>
      <c r="B76" s="18">
        <f>'Sensor Unit'!B28</f>
        <v>10.000001</v>
      </c>
      <c r="C76" s="41" t="str">
        <f>'Sensor Unit'!C28</f>
        <v>mW</v>
      </c>
      <c r="D76" s="18">
        <f t="shared" ref="D76:N76" si="23">$B76</f>
        <v>10.000001</v>
      </c>
      <c r="E76" s="18">
        <f t="shared" si="23"/>
        <v>10.000001</v>
      </c>
      <c r="F76" s="18">
        <f t="shared" si="23"/>
        <v>10.000001</v>
      </c>
      <c r="G76" s="18">
        <f t="shared" si="23"/>
        <v>10.000001</v>
      </c>
      <c r="H76" s="18">
        <f t="shared" si="23"/>
        <v>10.000001</v>
      </c>
      <c r="I76" s="18">
        <f t="shared" si="23"/>
        <v>10.000001</v>
      </c>
      <c r="J76" s="18">
        <f t="shared" si="23"/>
        <v>10.000001</v>
      </c>
      <c r="K76" s="18">
        <f t="shared" si="23"/>
        <v>10.000001</v>
      </c>
      <c r="L76" s="18">
        <f t="shared" si="23"/>
        <v>10.000001</v>
      </c>
      <c r="M76" s="18">
        <f t="shared" si="23"/>
        <v>10.000001</v>
      </c>
      <c r="N76" s="18">
        <f t="shared" si="23"/>
        <v>10.000001</v>
      </c>
      <c r="O76" s="41">
        <f>$B76*0.9</f>
        <v>9.0000009</v>
      </c>
      <c r="T76" s="61">
        <f>'Sensor Unit'!E28</f>
        <v>0</v>
      </c>
      <c r="U76" s="61">
        <f>'Sensor Unit'!F28</f>
        <v>0</v>
      </c>
      <c r="V76" s="61">
        <f>'Sensor Unit'!G28</f>
        <v>0</v>
      </c>
      <c r="W76" s="41" t="str">
        <f>'Sensor Unit'!H28</f>
        <v/>
      </c>
    </row>
    <row r="77">
      <c r="A77" s="41" t="str">
        <f>'Sensor Unit'!A29</f>
        <v/>
      </c>
      <c r="B77" s="41" t="str">
        <f>'Sensor Unit'!B29</f>
        <v/>
      </c>
      <c r="C77" s="41" t="str">
        <f>'Sensor Unit'!C29</f>
        <v/>
      </c>
      <c r="D77" s="41" t="str">
        <f>'Sensor Unit'!D29</f>
        <v/>
      </c>
      <c r="T77" s="41" t="str">
        <f>'Sensor Unit'!E29</f>
        <v/>
      </c>
      <c r="U77" s="41" t="str">
        <f>'Sensor Unit'!F29</f>
        <v/>
      </c>
      <c r="V77" s="41" t="str">
        <f>'Sensor Unit'!G29</f>
        <v/>
      </c>
      <c r="W77" s="41" t="str">
        <f>'Sensor Unit'!H29</f>
        <v/>
      </c>
    </row>
    <row r="78">
      <c r="A78" s="41" t="str">
        <f>'Sensor Unit'!A30</f>
        <v/>
      </c>
      <c r="B78" s="41" t="str">
        <f>'Sensor Unit'!B30</f>
        <v/>
      </c>
      <c r="C78" s="41" t="str">
        <f>'Sensor Unit'!C30</f>
        <v/>
      </c>
      <c r="D78" s="41" t="str">
        <f>'Sensor Unit'!D30</f>
        <v/>
      </c>
      <c r="T78" s="41">
        <f>'Sensor Unit'!E30</f>
        <v>16</v>
      </c>
      <c r="U78" s="41">
        <f>'Sensor Unit'!F30</f>
        <v>7</v>
      </c>
      <c r="V78" s="66">
        <f>'Sensor Unit'!G30</f>
        <v>0.0005555555556</v>
      </c>
      <c r="W78" s="41" t="str">
        <f>'Sensor Unit'!H30</f>
        <v>hours/day typical usage</v>
      </c>
    </row>
    <row r="79">
      <c r="A79" s="41" t="str">
        <f>'Sensor Unit'!A31</f>
        <v>Battery</v>
      </c>
      <c r="B79" s="41" t="str">
        <f>'Sensor Unit'!B31</f>
        <v/>
      </c>
      <c r="C79" s="41" t="str">
        <f>'Sensor Unit'!C31</f>
        <v/>
      </c>
      <c r="D79" s="41" t="str">
        <f>'Sensor Unit'!D31</f>
        <v/>
      </c>
      <c r="T79" s="41" t="str">
        <f>'Sensor Unit'!E31</f>
        <v/>
      </c>
      <c r="U79" s="41" t="str">
        <f>'Sensor Unit'!F31</f>
        <v/>
      </c>
      <c r="V79" s="41" t="str">
        <f>'Sensor Unit'!G31</f>
        <v/>
      </c>
      <c r="W79" s="41" t="str">
        <f>'Sensor Unit'!H31</f>
        <v/>
      </c>
    </row>
    <row r="80">
      <c r="A80" s="41" t="str">
        <f>'Sensor Unit'!A32</f>
        <v>Capacity</v>
      </c>
      <c r="B80" s="18">
        <f>'Sensor Unit'!B32</f>
        <v>2500</v>
      </c>
      <c r="C80" s="41" t="str">
        <f>'Sensor Unit'!C32</f>
        <v>mAh</v>
      </c>
      <c r="D80" s="41" t="str">
        <f>'Sensor Unit'!D32</f>
        <v/>
      </c>
      <c r="T80" s="41" t="str">
        <f>'Sensor Unit'!E32</f>
        <v/>
      </c>
      <c r="U80" s="41" t="str">
        <f>'Sensor Unit'!F32</f>
        <v/>
      </c>
      <c r="V80" s="41" t="str">
        <f>'Sensor Unit'!G32</f>
        <v/>
      </c>
      <c r="W80" s="41" t="str">
        <f>'Sensor Unit'!H32</f>
        <v/>
      </c>
    </row>
    <row r="81">
      <c r="A81" s="41" t="str">
        <f>'Sensor Unit'!A33</f>
        <v>Nominal Voltage</v>
      </c>
      <c r="B81" s="65">
        <f>'Sensor Unit'!B33</f>
        <v>3.7</v>
      </c>
      <c r="C81" s="41" t="str">
        <f>'Sensor Unit'!C33</f>
        <v>V</v>
      </c>
      <c r="D81" s="41" t="str">
        <f>'Sensor Unit'!D33</f>
        <v/>
      </c>
      <c r="T81" s="41" t="str">
        <f>'Sensor Unit'!E33</f>
        <v/>
      </c>
      <c r="U81" s="41" t="str">
        <f>'Sensor Unit'!F33</f>
        <v/>
      </c>
      <c r="V81" s="41" t="str">
        <f>'Sensor Unit'!G33</f>
        <v/>
      </c>
      <c r="W81" s="41" t="str">
        <f>'Sensor Unit'!H33</f>
        <v/>
      </c>
    </row>
    <row r="82">
      <c r="A82" s="41" t="str">
        <f>'Sensor Unit'!A34</f>
        <v>Regulator Efficiency</v>
      </c>
      <c r="B82" s="61">
        <f>'Sensor Unit'!B34</f>
        <v>0.9</v>
      </c>
      <c r="C82" s="41" t="str">
        <f>'Sensor Unit'!C34</f>
        <v/>
      </c>
      <c r="D82" s="41" t="str">
        <f>'Sensor Unit'!D34</f>
        <v/>
      </c>
      <c r="T82" s="41" t="str">
        <f>'Sensor Unit'!E34</f>
        <v/>
      </c>
      <c r="W82" s="41" t="str">
        <f>'Sensor Unit'!H34</f>
        <v/>
      </c>
    </row>
    <row r="83">
      <c r="A83" s="41" t="str">
        <f>'Sensor Unit'!A35</f>
        <v/>
      </c>
      <c r="B83" s="41" t="str">
        <f>'Sensor Unit'!B35</f>
        <v/>
      </c>
      <c r="C83" s="41" t="str">
        <f>'Sensor Unit'!C35</f>
        <v/>
      </c>
      <c r="D83" s="41" t="str">
        <f>'Sensor Unit'!D35</f>
        <v/>
      </c>
      <c r="O83" s="41" t="str">
        <f>'Sensor Unit'!E35</f>
        <v/>
      </c>
      <c r="P83" s="41" t="str">
        <f>'Sensor Unit'!F35</f>
        <v/>
      </c>
      <c r="Q83" s="41" t="str">
        <f>'Sensor Unit'!G35</f>
        <v/>
      </c>
      <c r="R83" s="41" t="str">
        <f>'Sensor Unit'!H35</f>
        <v/>
      </c>
      <c r="S83" s="41" t="str">
        <f>'Sensor Unit'!I35</f>
        <v/>
      </c>
      <c r="T83" s="41" t="str">
        <f>'Sensor Unit'!J35</f>
        <v/>
      </c>
    </row>
    <row r="84">
      <c r="A84" s="41" t="str">
        <f>'Sensor Unit'!A36</f>
        <v/>
      </c>
      <c r="B84" s="41" t="str">
        <f>'Sensor Unit'!B36</f>
        <v/>
      </c>
      <c r="C84" s="41" t="str">
        <f>'Sensor Unit'!C36</f>
        <v/>
      </c>
      <c r="D84" s="41" t="str">
        <f>'Sensor Unit'!D36</f>
        <v/>
      </c>
      <c r="O84" s="41" t="str">
        <f>'Sensor Unit'!E36</f>
        <v/>
      </c>
      <c r="P84" s="41" t="str">
        <f>'Sensor Unit'!F36</f>
        <v/>
      </c>
      <c r="Q84" s="41" t="str">
        <f>'Sensor Unit'!G36</f>
        <v/>
      </c>
      <c r="R84" s="41" t="str">
        <f>'Sensor Unit'!H36</f>
        <v/>
      </c>
      <c r="S84" s="41" t="str">
        <f>'Sensor Unit'!I36</f>
        <v/>
      </c>
      <c r="T84" s="41" t="str">
        <f>'Sensor Unit'!J36</f>
        <v/>
      </c>
    </row>
    <row r="85">
      <c r="A85" s="41" t="str">
        <f>'Sensor Unit'!A37</f>
        <v>How did you determine your "days of use" metric ?</v>
      </c>
      <c r="B85" s="41" t="str">
        <f>'Sensor Unit'!K24</f>
        <v/>
      </c>
      <c r="C85" s="41" t="str">
        <f>'Sensor Unit'!L24</f>
        <v/>
      </c>
      <c r="D85" s="41" t="str">
        <f>'Sensor Unit'!M24</f>
        <v/>
      </c>
      <c r="O85" s="41" t="str">
        <f>'Sensor Unit'!N24</f>
        <v/>
      </c>
      <c r="P85" s="41" t="str">
        <f>'Sensor Unit'!O24</f>
        <v/>
      </c>
      <c r="Q85" s="41" t="str">
        <f>'Sensor Unit'!P24</f>
        <v/>
      </c>
      <c r="R85" s="41" t="str">
        <f>'Sensor Unit'!Q24</f>
        <v/>
      </c>
      <c r="S85" s="41" t="str">
        <f>'Sensor Unit'!I37</f>
        <v/>
      </c>
      <c r="T85" s="41" t="str">
        <f>'Sensor Unit'!J37</f>
        <v/>
      </c>
    </row>
    <row r="86">
      <c r="A86" s="41" t="str">
        <f>'Sensor Unit'!A38</f>
        <v>I used a 6-step power budget calculation:</v>
      </c>
      <c r="B86" s="41" t="str">
        <f>'Sensor Unit'!K25</f>
        <v/>
      </c>
      <c r="R86" s="41" t="str">
        <f>'Sensor Unit'!Q25</f>
        <v/>
      </c>
      <c r="S86" s="41" t="str">
        <f>'Sensor Unit'!I38</f>
        <v/>
      </c>
      <c r="T86" s="41" t="str">
        <f>'Sensor Unit'!J38</f>
        <v/>
      </c>
    </row>
    <row r="87">
      <c r="A87" s="41" t="str">
        <f>'Sensor Unit'!L25</f>
        <v>Total power in profile (mw)</v>
      </c>
      <c r="B87" s="41" t="str">
        <f>'Sensor Unit'!M25</f>
        <v/>
      </c>
      <c r="C87" s="41" t="str">
        <f>'Sensor Unit'!N25</f>
        <v/>
      </c>
      <c r="R87" s="41" t="str">
        <f>'Sensor Unit'!Q26</f>
        <v/>
      </c>
      <c r="S87" s="41" t="str">
        <f>'Sensor Unit'!I39</f>
        <v/>
      </c>
      <c r="T87" s="41" t="str">
        <f>'Sensor Unit'!J39</f>
        <v/>
      </c>
    </row>
    <row r="88">
      <c r="A88" s="41" t="str">
        <f>'Sensor Unit'!L26</f>
        <v>"off"</v>
      </c>
      <c r="B88" s="41">
        <f>sumproduct(B56:B76, $T56:$T76)</f>
        <v>1.50065</v>
      </c>
      <c r="C88" s="41" t="str">
        <f>'Sensor Unit'!N26</f>
        <v>mW</v>
      </c>
      <c r="D88" s="41">
        <f t="shared" ref="D88:O88" si="24">sumproduct(D56:D76, $T56:$T76)</f>
        <v>1.50065</v>
      </c>
      <c r="E88" s="41">
        <f t="shared" si="24"/>
        <v>1.50065</v>
      </c>
      <c r="F88" s="41">
        <f t="shared" si="24"/>
        <v>1.400615</v>
      </c>
      <c r="G88" s="41">
        <f t="shared" si="24"/>
        <v>1.50065</v>
      </c>
      <c r="H88" s="41" t="str">
        <f t="shared" si="24"/>
        <v>#VALUE!</v>
      </c>
      <c r="I88" s="41">
        <f t="shared" si="24"/>
        <v>1.50065</v>
      </c>
      <c r="J88" s="41">
        <f t="shared" si="24"/>
        <v>1.50062</v>
      </c>
      <c r="K88" s="41">
        <f t="shared" si="24"/>
        <v>1.45065</v>
      </c>
      <c r="L88" s="41">
        <f t="shared" si="24"/>
        <v>1.50065</v>
      </c>
      <c r="M88" s="41">
        <f t="shared" si="24"/>
        <v>1.50065</v>
      </c>
      <c r="N88" s="41">
        <f t="shared" si="24"/>
        <v>1.50065</v>
      </c>
      <c r="O88" s="41">
        <f t="shared" si="24"/>
        <v>1.50065</v>
      </c>
      <c r="R88" s="41" t="str">
        <f>'Sensor Unit'!Q27</f>
        <v/>
      </c>
      <c r="S88" s="41" t="str">
        <f>'Sensor Unit'!I40</f>
        <v/>
      </c>
      <c r="T88" s="41" t="str">
        <f>'Sensor Unit'!J40</f>
        <v/>
      </c>
      <c r="U88" s="41" t="str">
        <f>'Sensor Unit'!K40</f>
        <v/>
      </c>
      <c r="V88" s="41" t="str">
        <f>'Sensor Unit'!L40</f>
        <v/>
      </c>
    </row>
    <row r="89">
      <c r="A89" s="41" t="str">
        <f>'Sensor Unit'!L27</f>
        <v>"sensing"</v>
      </c>
      <c r="B89" s="67">
        <f>sumproduct(B56:B76, $U56:$U76)</f>
        <v>2.895094489</v>
      </c>
      <c r="C89" s="41" t="str">
        <f>'Sensor Unit'!N27</f>
        <v>mW</v>
      </c>
      <c r="D89" s="67">
        <f t="shared" ref="D89:O89" si="25">sumproduct(D56:D76, $U56:$U76)</f>
        <v>2.786543988</v>
      </c>
      <c r="E89" s="67">
        <f t="shared" si="25"/>
        <v>2.895094489</v>
      </c>
      <c r="F89" s="67">
        <f t="shared" si="25"/>
        <v>2.796730074</v>
      </c>
      <c r="G89" s="67">
        <f t="shared" si="25"/>
        <v>2.895094489</v>
      </c>
      <c r="H89" s="67" t="str">
        <f t="shared" si="25"/>
        <v>#VALUE!</v>
      </c>
      <c r="I89" s="67">
        <f t="shared" si="25"/>
        <v>2.886744489</v>
      </c>
      <c r="J89" s="67">
        <f t="shared" si="25"/>
        <v>2.89506499</v>
      </c>
      <c r="K89" s="67">
        <f t="shared" si="25"/>
        <v>2.845929489</v>
      </c>
      <c r="L89" s="67">
        <f t="shared" si="25"/>
        <v>2.895094489</v>
      </c>
      <c r="M89" s="67">
        <f t="shared" si="25"/>
        <v>2.886744456</v>
      </c>
      <c r="N89" s="67">
        <f t="shared" si="25"/>
        <v>2.895094489</v>
      </c>
      <c r="O89" s="67">
        <f t="shared" si="25"/>
        <v>2.895094489</v>
      </c>
      <c r="R89" s="41" t="str">
        <f>'Sensor Unit'!Q28</f>
        <v/>
      </c>
      <c r="S89" s="41" t="str">
        <f>'Sensor Unit'!I41</f>
        <v/>
      </c>
      <c r="T89" s="41" t="str">
        <f>'Sensor Unit'!J41</f>
        <v/>
      </c>
      <c r="U89" s="41" t="str">
        <f>'Sensor Unit'!K41</f>
        <v/>
      </c>
      <c r="V89" s="41" t="str">
        <f>'Sensor Unit'!L41</f>
        <v/>
      </c>
    </row>
    <row r="90">
      <c r="A90" s="41" t="str">
        <f>'Sensor Unit'!L28</f>
        <v>"interactive"</v>
      </c>
      <c r="B90" s="67">
        <f>sumproduct(B56:B76, $V56:$V76)</f>
        <v>100.000303</v>
      </c>
      <c r="C90" s="41" t="str">
        <f>'Sensor Unit'!N28</f>
        <v>mW</v>
      </c>
      <c r="D90" s="67">
        <f t="shared" ref="D90:O90" si="26">sumproduct(D56:D76, $V56:$V76)</f>
        <v>93.500273</v>
      </c>
      <c r="E90" s="67">
        <f t="shared" si="26"/>
        <v>100.000303</v>
      </c>
      <c r="F90" s="67">
        <f t="shared" si="26"/>
        <v>100.000303</v>
      </c>
      <c r="G90" s="67">
        <f t="shared" si="26"/>
        <v>100.000303</v>
      </c>
      <c r="H90" s="67" t="str">
        <f t="shared" si="26"/>
        <v>#VALUE!</v>
      </c>
      <c r="I90" s="67">
        <f t="shared" si="26"/>
        <v>99.500303</v>
      </c>
      <c r="J90" s="67">
        <f t="shared" si="26"/>
        <v>100.000303</v>
      </c>
      <c r="K90" s="67">
        <f t="shared" si="26"/>
        <v>100.000303</v>
      </c>
      <c r="L90" s="67">
        <f t="shared" si="26"/>
        <v>100.000303</v>
      </c>
      <c r="M90" s="67">
        <f t="shared" si="26"/>
        <v>100.000303</v>
      </c>
      <c r="N90" s="67">
        <f t="shared" si="26"/>
        <v>98.0003027</v>
      </c>
      <c r="O90" s="67">
        <f t="shared" si="26"/>
        <v>100.000303</v>
      </c>
      <c r="R90" s="41" t="str">
        <f>'Sensor Unit'!Q29</f>
        <v/>
      </c>
      <c r="S90" s="41" t="str">
        <f>'Sensor Unit'!I42</f>
        <v/>
      </c>
      <c r="T90" s="41" t="str">
        <f>'Sensor Unit'!J42</f>
        <v/>
      </c>
      <c r="U90" s="41" t="str">
        <f>'Sensor Unit'!K42</f>
        <v/>
      </c>
      <c r="V90" s="41" t="str">
        <f>'Sensor Unit'!L42</f>
        <v/>
      </c>
    </row>
    <row r="91">
      <c r="A91" s="41" t="str">
        <f>'Sensor Unit'!L29</f>
        <v/>
      </c>
      <c r="B91" s="41" t="str">
        <f>'Sensor Unit'!M29</f>
        <v/>
      </c>
      <c r="C91" s="41" t="str">
        <f>'Sensor Unit'!N29</f>
        <v/>
      </c>
      <c r="D91" s="41" t="str">
        <f>'Sensor Unit'!O29</f>
        <v/>
      </c>
      <c r="E91" s="41" t="str">
        <f>'Sensor Unit'!P29</f>
        <v/>
      </c>
      <c r="F91" s="41" t="str">
        <f>'Sensor Unit'!Q30</f>
        <v/>
      </c>
      <c r="G91" s="41" t="str">
        <f>'Sensor Unit'!I43</f>
        <v/>
      </c>
      <c r="H91" s="41" t="str">
        <f>'Sensor Unit'!J43</f>
        <v/>
      </c>
      <c r="I91" s="41" t="str">
        <f>'Sensor Unit'!K43</f>
        <v/>
      </c>
      <c r="J91" s="41" t="str">
        <f>'Sensor Unit'!L43</f>
        <v/>
      </c>
      <c r="K91" s="41" t="str">
        <f>'Sensor Unit'!M43</f>
        <v/>
      </c>
      <c r="L91" s="41" t="str">
        <f>'Sensor Unit'!N43</f>
        <v/>
      </c>
      <c r="M91" s="41" t="str">
        <f>'Sensor Unit'!O43</f>
        <v/>
      </c>
      <c r="N91" s="41" t="str">
        <f>'Sensor Unit'!P43</f>
        <v/>
      </c>
      <c r="O91" s="41" t="str">
        <f>'Sensor Unit'!Q43</f>
        <v/>
      </c>
      <c r="R91" s="41" t="str">
        <f>'Sensor Unit'!Q30</f>
        <v/>
      </c>
      <c r="S91" s="41" t="str">
        <f>'Sensor Unit'!I43</f>
        <v/>
      </c>
      <c r="T91" s="41" t="str">
        <f>'Sensor Unit'!J43</f>
        <v/>
      </c>
      <c r="U91" s="41" t="str">
        <f>'Sensor Unit'!K43</f>
        <v/>
      </c>
      <c r="V91" s="41" t="str">
        <f>'Sensor Unit'!L43</f>
        <v/>
      </c>
    </row>
    <row r="92">
      <c r="A92" s="41" t="str">
        <f>'Sensor Unit'!L30</f>
        <v>Effective Battery Capacity</v>
      </c>
      <c r="B92" s="41" t="str">
        <f>'Sensor Unit'!M30</f>
        <v/>
      </c>
      <c r="C92" s="41" t="str">
        <f>'Sensor Unit'!N30</f>
        <v/>
      </c>
      <c r="D92" s="41" t="str">
        <f>'Sensor Unit'!O30</f>
        <v/>
      </c>
      <c r="E92" s="41" t="str">
        <f>'Sensor Unit'!P30</f>
        <v/>
      </c>
      <c r="F92" s="41" t="str">
        <f>'Sensor Unit'!Q31</f>
        <v/>
      </c>
      <c r="G92" s="41" t="str">
        <f>'Sensor Unit'!I44</f>
        <v/>
      </c>
      <c r="H92" s="41" t="str">
        <f>'Sensor Unit'!J44</f>
        <v/>
      </c>
      <c r="I92" s="41" t="str">
        <f>'Sensor Unit'!K44</f>
        <v/>
      </c>
      <c r="J92" s="41" t="str">
        <f>'Sensor Unit'!L44</f>
        <v/>
      </c>
      <c r="K92" s="41" t="str">
        <f>'Sensor Unit'!M44</f>
        <v/>
      </c>
      <c r="L92" s="41" t="str">
        <f>'Sensor Unit'!N44</f>
        <v/>
      </c>
      <c r="M92" s="41" t="str">
        <f>'Sensor Unit'!O44</f>
        <v/>
      </c>
      <c r="N92" s="41" t="str">
        <f>'Sensor Unit'!P44</f>
        <v/>
      </c>
      <c r="O92" s="41" t="str">
        <f>'Sensor Unit'!Q44</f>
        <v/>
      </c>
      <c r="P92" s="41" t="str">
        <f>'Sensor Unit'!O30</f>
        <v/>
      </c>
      <c r="Q92" s="41" t="str">
        <f>'Sensor Unit'!P30</f>
        <v/>
      </c>
      <c r="R92" s="41" t="str">
        <f>'Sensor Unit'!Q31</f>
        <v/>
      </c>
      <c r="S92" s="41" t="str">
        <f>'Sensor Unit'!I44</f>
        <v/>
      </c>
      <c r="T92" s="41" t="str">
        <f>'Sensor Unit'!J44</f>
        <v/>
      </c>
      <c r="U92" s="41" t="str">
        <f>'Sensor Unit'!K44</f>
        <v/>
      </c>
      <c r="V92" s="41" t="str">
        <f>'Sensor Unit'!L44</f>
        <v/>
      </c>
    </row>
    <row r="93">
      <c r="A93" s="41" t="str">
        <f>'Sensor Unit'!L31</f>
        <v/>
      </c>
      <c r="B93" s="41">
        <f>B80*B81*B82</f>
        <v>8325</v>
      </c>
      <c r="C93" s="41" t="str">
        <f>'Sensor Unit'!N31</f>
        <v>mW*h</v>
      </c>
      <c r="D93" s="41">
        <f t="shared" ref="D93:O93" si="27">$B93</f>
        <v>8325</v>
      </c>
      <c r="E93" s="41">
        <f t="shared" si="27"/>
        <v>8325</v>
      </c>
      <c r="F93" s="41">
        <f t="shared" si="27"/>
        <v>8325</v>
      </c>
      <c r="G93" s="41">
        <f t="shared" si="27"/>
        <v>8325</v>
      </c>
      <c r="H93" s="41">
        <f t="shared" si="27"/>
        <v>8325</v>
      </c>
      <c r="I93" s="41">
        <f t="shared" si="27"/>
        <v>8325</v>
      </c>
      <c r="J93" s="41">
        <f t="shared" si="27"/>
        <v>8325</v>
      </c>
      <c r="K93" s="41">
        <f t="shared" si="27"/>
        <v>8325</v>
      </c>
      <c r="L93" s="41">
        <f t="shared" si="27"/>
        <v>8325</v>
      </c>
      <c r="M93" s="41">
        <f t="shared" si="27"/>
        <v>8325</v>
      </c>
      <c r="N93" s="41">
        <f t="shared" si="27"/>
        <v>8325</v>
      </c>
      <c r="O93" s="41">
        <f t="shared" si="27"/>
        <v>8325</v>
      </c>
      <c r="P93" s="41" t="str">
        <f>'Sensor Unit'!O31</f>
        <v/>
      </c>
      <c r="Q93" s="41" t="str">
        <f>'Sensor Unit'!P31</f>
        <v/>
      </c>
      <c r="R93" s="41" t="str">
        <f>'Sensor Unit'!Q32</f>
        <v/>
      </c>
      <c r="S93" s="41" t="str">
        <f>'Sensor Unit'!I45</f>
        <v/>
      </c>
      <c r="T93" s="41" t="str">
        <f>'Sensor Unit'!J45</f>
        <v/>
      </c>
      <c r="U93" s="41" t="str">
        <f>'Sensor Unit'!K45</f>
        <v/>
      </c>
      <c r="V93" s="41" t="str">
        <f>'Sensor Unit'!L45</f>
        <v/>
      </c>
    </row>
    <row r="94">
      <c r="A94" s="41" t="str">
        <f>'Sensor Unit'!L32</f>
        <v/>
      </c>
      <c r="B94" s="41" t="str">
        <f>'Sensor Unit'!M32</f>
        <v/>
      </c>
      <c r="C94" s="41" t="str">
        <f>'Sensor Unit'!N32</f>
        <v/>
      </c>
      <c r="D94" s="41" t="str">
        <f>'Sensor Unit'!O32</f>
        <v/>
      </c>
      <c r="E94" s="41" t="str">
        <f>'Sensor Unit'!P32</f>
        <v/>
      </c>
      <c r="F94" s="41" t="str">
        <f>'Sensor Unit'!Q33</f>
        <v/>
      </c>
      <c r="G94" s="41" t="str">
        <f>'Sensor Unit'!I46</f>
        <v/>
      </c>
      <c r="H94" s="41" t="str">
        <f>'Sensor Unit'!J46</f>
        <v/>
      </c>
      <c r="I94" s="41" t="str">
        <f>'Sensor Unit'!K46</f>
        <v/>
      </c>
      <c r="J94" s="41" t="str">
        <f>'Sensor Unit'!L46</f>
        <v/>
      </c>
      <c r="K94" s="41" t="str">
        <f>'Sensor Unit'!M46</f>
        <v/>
      </c>
      <c r="L94" s="41" t="str">
        <f>'Sensor Unit'!N46</f>
        <v/>
      </c>
      <c r="M94" s="41" t="str">
        <f>'Sensor Unit'!O46</f>
        <v/>
      </c>
      <c r="N94" s="41" t="str">
        <f>'Sensor Unit'!P46</f>
        <v/>
      </c>
      <c r="O94" s="41" t="str">
        <f>'Sensor Unit'!Q46</f>
        <v/>
      </c>
      <c r="P94" s="41" t="str">
        <f>'Sensor Unit'!O32</f>
        <v/>
      </c>
      <c r="Q94" s="41" t="str">
        <f>'Sensor Unit'!P32</f>
        <v/>
      </c>
      <c r="R94" s="41" t="str">
        <f>'Sensor Unit'!Q33</f>
        <v/>
      </c>
      <c r="S94" s="41" t="str">
        <f>'Sensor Unit'!I46</f>
        <v/>
      </c>
      <c r="T94" s="41" t="str">
        <f>'Sensor Unit'!J46</f>
        <v/>
      </c>
      <c r="U94" s="41" t="str">
        <f>'Sensor Unit'!K46</f>
        <v/>
      </c>
      <c r="V94" s="41" t="str">
        <f>'Sensor Unit'!L46</f>
        <v/>
      </c>
    </row>
    <row r="95">
      <c r="A95" s="41" t="str">
        <f>'Sensor Unit'!L33</f>
        <v>Days of Use</v>
      </c>
      <c r="B95" s="41">
        <f>B93/($T78*B88+$U78*B89+$V78*B90)</f>
        <v>187.7892244</v>
      </c>
      <c r="C95" s="41" t="str">
        <f>'Sensor Unit'!N33</f>
        <v>days</v>
      </c>
      <c r="D95" s="41">
        <f t="shared" ref="D95:O95" si="28">D93/($T78*D88+$U78*D89+$V78*D90)</f>
        <v>191.0799407</v>
      </c>
      <c r="E95" s="41">
        <f t="shared" si="28"/>
        <v>187.7892244</v>
      </c>
      <c r="F95" s="41">
        <f t="shared" si="28"/>
        <v>198.0138851</v>
      </c>
      <c r="G95" s="41">
        <f t="shared" si="28"/>
        <v>187.7892244</v>
      </c>
      <c r="H95" s="41" t="str">
        <f t="shared" si="28"/>
        <v>#VALUE!</v>
      </c>
      <c r="I95" s="41">
        <f t="shared" si="28"/>
        <v>188.0383259</v>
      </c>
      <c r="J95" s="41">
        <f t="shared" si="28"/>
        <v>187.7921324</v>
      </c>
      <c r="K95" s="41">
        <f t="shared" si="28"/>
        <v>192.7642789</v>
      </c>
      <c r="L95" s="41">
        <f t="shared" si="28"/>
        <v>187.7892244</v>
      </c>
      <c r="M95" s="41">
        <f t="shared" si="28"/>
        <v>188.0371471</v>
      </c>
      <c r="N95" s="41">
        <f t="shared" si="28"/>
        <v>187.7939312</v>
      </c>
      <c r="O95" s="41">
        <f t="shared" si="28"/>
        <v>187.7892244</v>
      </c>
      <c r="P95" s="41" t="str">
        <f>'Sensor Unit'!O33</f>
        <v/>
      </c>
      <c r="Q95" s="41" t="str">
        <f>'Sensor Unit'!P33</f>
        <v/>
      </c>
      <c r="R95" s="41" t="str">
        <f>'Sensor Unit'!Q34</f>
        <v/>
      </c>
      <c r="S95" s="41" t="str">
        <f>'Sensor Unit'!I47</f>
        <v/>
      </c>
      <c r="T95" s="41" t="str">
        <f>'Sensor Unit'!J47</f>
        <v/>
      </c>
      <c r="U95" s="41" t="str">
        <f>'Sensor Unit'!K47</f>
        <v/>
      </c>
      <c r="V95" s="41" t="str">
        <f>'Sensor Unit'!L47</f>
        <v/>
      </c>
    </row>
    <row r="96">
      <c r="A96" s="41" t="str">
        <f>'Sensor Unit'!L34</f>
        <v>Hours of Use</v>
      </c>
      <c r="B96" s="41">
        <f>B95*24</f>
        <v>4506.941385</v>
      </c>
      <c r="C96" s="41" t="str">
        <f>'Sensor Unit'!N34</f>
        <v>hours</v>
      </c>
      <c r="D96" s="41">
        <f t="shared" ref="D96:O96" si="29">D95*24</f>
        <v>4585.918578</v>
      </c>
      <c r="E96" s="41">
        <f t="shared" si="29"/>
        <v>4506.941385</v>
      </c>
      <c r="F96" s="41">
        <f t="shared" si="29"/>
        <v>4752.333243</v>
      </c>
      <c r="G96" s="41">
        <f t="shared" si="29"/>
        <v>4506.941385</v>
      </c>
      <c r="H96" s="41" t="str">
        <f t="shared" si="29"/>
        <v>#VALUE!</v>
      </c>
      <c r="I96" s="41">
        <f t="shared" si="29"/>
        <v>4512.919822</v>
      </c>
      <c r="J96" s="41">
        <f t="shared" si="29"/>
        <v>4507.011178</v>
      </c>
      <c r="K96" s="41">
        <f t="shared" si="29"/>
        <v>4626.342695</v>
      </c>
      <c r="L96" s="41">
        <f t="shared" si="29"/>
        <v>4506.941385</v>
      </c>
      <c r="M96" s="41">
        <f t="shared" si="29"/>
        <v>4512.891531</v>
      </c>
      <c r="N96" s="41">
        <f t="shared" si="29"/>
        <v>4507.054349</v>
      </c>
      <c r="O96" s="41">
        <f t="shared" si="29"/>
        <v>4506.941385</v>
      </c>
      <c r="P96" s="41" t="str">
        <f>'Sensor Unit'!O34</f>
        <v/>
      </c>
      <c r="Q96" s="41" t="str">
        <f>'Sensor Unit'!P34</f>
        <v/>
      </c>
      <c r="R96" s="41" t="str">
        <f>'Sensor Unit'!Q35</f>
        <v/>
      </c>
      <c r="S96" s="41" t="str">
        <f>'Sensor Unit'!I48</f>
        <v/>
      </c>
      <c r="T96" s="41" t="str">
        <f>'Sensor Unit'!J48</f>
        <v/>
      </c>
      <c r="U96" s="41" t="str">
        <f>'Sensor Unit'!K48</f>
        <v/>
      </c>
      <c r="V96" s="41" t="str">
        <f>'Sensor Unit'!L48</f>
        <v/>
      </c>
    </row>
    <row r="97">
      <c r="A97" s="41" t="str">
        <f>'Sensor Unit'!A49</f>
        <v>2500-3000 mAh 18650 is optimal. </v>
      </c>
      <c r="B97" s="41" t="str">
        <f>'Sensor Unit'!K36</f>
        <v/>
      </c>
      <c r="C97" s="41" t="str">
        <f>'Sensor Unit'!L36</f>
        <v/>
      </c>
      <c r="D97" s="41" t="str">
        <f>'Sensor Unit'!M36</f>
        <v/>
      </c>
      <c r="O97" s="41" t="str">
        <f>'Sensor Unit'!N36</f>
        <v/>
      </c>
      <c r="P97" s="41" t="str">
        <f>'Sensor Unit'!O36</f>
        <v/>
      </c>
      <c r="Q97" s="41" t="str">
        <f>'Sensor Unit'!P36</f>
        <v/>
      </c>
      <c r="R97" s="41" t="str">
        <f>'Sensor Unit'!Q36</f>
        <v/>
      </c>
      <c r="S97" s="41" t="str">
        <f>'Sensor Unit'!I49</f>
        <v/>
      </c>
      <c r="T97" s="41" t="str">
        <f>'Sensor Unit'!J49</f>
        <v/>
      </c>
      <c r="U97" s="41" t="str">
        <f>'Sensor Unit'!K49</f>
        <v/>
      </c>
      <c r="V97" s="41" t="str">
        <f>'Sensor Unit'!L49</f>
        <v/>
      </c>
    </row>
    <row r="98">
      <c r="A98" s="9" t="s">
        <v>97</v>
      </c>
      <c r="B98" s="41" t="str">
        <f>'Sensor Unit'!K37</f>
        <v/>
      </c>
      <c r="C98" s="41" t="str">
        <f>'Sensor Unit'!L37</f>
        <v/>
      </c>
      <c r="D98" s="31">
        <f t="shared" ref="D98:O98" si="30">D96/$B96-1</f>
        <v>0.01752345672</v>
      </c>
      <c r="E98" s="31">
        <f t="shared" si="30"/>
        <v>0</v>
      </c>
      <c r="F98" s="31">
        <f t="shared" si="30"/>
        <v>0.05444753687</v>
      </c>
      <c r="G98" s="31">
        <f t="shared" si="30"/>
        <v>0</v>
      </c>
      <c r="H98" s="31" t="str">
        <f t="shared" si="30"/>
        <v>#VALUE!</v>
      </c>
      <c r="I98" s="31">
        <f t="shared" si="30"/>
        <v>0.001326495257</v>
      </c>
      <c r="J98" s="31">
        <f t="shared" si="30"/>
        <v>0.00001548564377</v>
      </c>
      <c r="K98" s="31">
        <f t="shared" si="30"/>
        <v>0.02649275839</v>
      </c>
      <c r="L98" s="31">
        <f t="shared" si="30"/>
        <v>0</v>
      </c>
      <c r="M98" s="31">
        <f t="shared" si="30"/>
        <v>0.001320218043</v>
      </c>
      <c r="N98" s="31">
        <f t="shared" si="30"/>
        <v>0.00002506425884</v>
      </c>
      <c r="O98" s="31">
        <f t="shared" si="30"/>
        <v>0</v>
      </c>
      <c r="P98" s="41" t="str">
        <f>'Sensor Unit'!O37</f>
        <v/>
      </c>
      <c r="Q98" s="41" t="str">
        <f>'Sensor Unit'!P37</f>
        <v/>
      </c>
      <c r="R98" s="41" t="str">
        <f>'Sensor Unit'!Q37</f>
        <v/>
      </c>
      <c r="S98" s="41" t="str">
        <f>'Sensor Unit'!I50</f>
        <v/>
      </c>
      <c r="T98" s="41" t="str">
        <f>'Sensor Unit'!J50</f>
        <v/>
      </c>
      <c r="U98" s="41" t="str">
        <f>'Sensor Unit'!K50</f>
        <v/>
      </c>
      <c r="V98" s="41" t="str">
        <f>'Sensor Unit'!L50</f>
        <v/>
      </c>
    </row>
    <row r="99">
      <c r="A99" s="9" t="s">
        <v>98</v>
      </c>
      <c r="B99" s="41" t="str">
        <f>'Sensor Unit'!K38</f>
        <v/>
      </c>
      <c r="C99" s="41" t="str">
        <f>'Sensor Unit'!L38</f>
        <v/>
      </c>
      <c r="D99" s="9" t="s">
        <v>99</v>
      </c>
      <c r="E99" s="9" t="s">
        <v>100</v>
      </c>
      <c r="F99" s="9" t="s">
        <v>101</v>
      </c>
      <c r="G99" s="9" t="s">
        <v>102</v>
      </c>
      <c r="H99" s="9" t="s">
        <v>103</v>
      </c>
      <c r="I99" s="9" t="s">
        <v>104</v>
      </c>
      <c r="J99" s="9" t="s">
        <v>105</v>
      </c>
      <c r="K99" s="9" t="s">
        <v>106</v>
      </c>
      <c r="L99" s="9" t="s">
        <v>107</v>
      </c>
      <c r="M99" s="9" t="s">
        <v>108</v>
      </c>
      <c r="N99" s="9" t="s">
        <v>109</v>
      </c>
      <c r="O99" s="9" t="s">
        <v>110</v>
      </c>
      <c r="P99" s="41" t="str">
        <f>'Sensor Unit'!O38</f>
        <v/>
      </c>
      <c r="Q99" s="41" t="str">
        <f>'Sensor Unit'!P38</f>
        <v/>
      </c>
      <c r="R99" s="41" t="str">
        <f>'Sensor Unit'!Q38</f>
        <v/>
      </c>
      <c r="S99" s="41" t="str">
        <f>'Sensor Unit'!I51</f>
        <v/>
      </c>
      <c r="T99" s="41" t="str">
        <f>'Sensor Unit'!J51</f>
        <v/>
      </c>
      <c r="U99" s="41" t="str">
        <f>'Sensor Unit'!K51</f>
        <v/>
      </c>
      <c r="V99" s="41" t="str">
        <f>'Sensor Unit'!L51</f>
        <v/>
      </c>
    </row>
    <row r="100">
      <c r="A100" s="41" t="str">
        <f>'Sensor Unit'!A47</f>
        <v/>
      </c>
      <c r="B100" s="41" t="str">
        <f>'Sensor Unit'!B52</f>
        <v/>
      </c>
      <c r="C100" s="41" t="str">
        <f>'Sensor Unit'!C52</f>
        <v/>
      </c>
      <c r="D100" s="41" t="str">
        <f>'Sensor Unit'!D52</f>
        <v/>
      </c>
      <c r="O100" s="41" t="str">
        <f>'Sensor Unit'!E52</f>
        <v/>
      </c>
      <c r="P100" s="41" t="str">
        <f>'Sensor Unit'!F52</f>
        <v/>
      </c>
      <c r="Q100" s="41" t="str">
        <f>'Sensor Unit'!G52</f>
        <v/>
      </c>
      <c r="R100" s="41" t="str">
        <f>'Sensor Unit'!H52</f>
        <v/>
      </c>
      <c r="S100" s="41" t="str">
        <f>'Sensor Unit'!I52</f>
        <v/>
      </c>
      <c r="T100" s="41" t="str">
        <f>'Sensor Unit'!J52</f>
        <v/>
      </c>
      <c r="U100" s="41" t="str">
        <f>'Sensor Unit'!K52</f>
        <v/>
      </c>
      <c r="V100" s="41" t="str">
        <f>'Sensor Unit'!L52</f>
        <v/>
      </c>
    </row>
    <row r="101">
      <c r="A101" s="41" t="str">
        <f>'Sensor Unit'!A52</f>
        <v>available. Panasonic NCR18650B (3400mAh) recommended for 240-day life.</v>
      </c>
      <c r="B101" s="41" t="str">
        <f>'Sensor Unit'!B53</f>
        <v/>
      </c>
      <c r="C101" s="41" t="str">
        <f>'Sensor Unit'!C53</f>
        <v/>
      </c>
      <c r="D101" s="41" t="str">
        <f>'Sensor Unit'!D53</f>
        <v/>
      </c>
      <c r="O101" s="41" t="str">
        <f>'Sensor Unit'!E53</f>
        <v/>
      </c>
      <c r="P101" s="41" t="str">
        <f>'Sensor Unit'!F53</f>
        <v/>
      </c>
      <c r="Q101" s="41" t="str">
        <f>'Sensor Unit'!G53</f>
        <v/>
      </c>
      <c r="R101" s="41" t="str">
        <f>'Sensor Unit'!H53</f>
        <v/>
      </c>
      <c r="S101" s="41" t="str">
        <f>'Sensor Unit'!I53</f>
        <v/>
      </c>
      <c r="T101" s="41" t="str">
        <f>'Sensor Unit'!J53</f>
        <v/>
      </c>
      <c r="U101" s="41" t="str">
        <f>'Sensor Unit'!K53</f>
        <v/>
      </c>
      <c r="V101" s="41" t="str">
        <f>'Sensor Unit'!L53</f>
        <v/>
      </c>
    </row>
    <row r="102">
      <c r="A102" s="41" t="str">
        <f>'Sensor Unit'!A48</f>
        <v>What do you think is the optimum size for the battery in your device ?</v>
      </c>
      <c r="B102" s="41" t="str">
        <f>'Sensor Unit'!B54</f>
        <v/>
      </c>
      <c r="C102" s="41" t="str">
        <f>'Sensor Unit'!C54</f>
        <v/>
      </c>
      <c r="D102" s="41" t="str">
        <f>'Sensor Unit'!D54</f>
        <v/>
      </c>
      <c r="O102" s="41" t="str">
        <f>'Sensor Unit'!E54</f>
        <v/>
      </c>
      <c r="P102" s="41" t="str">
        <f>'Sensor Unit'!F54</f>
        <v/>
      </c>
      <c r="Q102" s="41" t="str">
        <f>'Sensor Unit'!G54</f>
        <v/>
      </c>
      <c r="R102" s="41" t="str">
        <f>'Sensor Unit'!H54</f>
        <v/>
      </c>
      <c r="S102" s="41" t="str">
        <f>'Sensor Unit'!I54</f>
        <v/>
      </c>
      <c r="T102" s="41" t="str">
        <f>'Sensor Unit'!J54</f>
        <v/>
      </c>
      <c r="U102" s="41" t="str">
        <f>'Sensor Unit'!K54</f>
        <v/>
      </c>
      <c r="V102" s="41" t="str">
        <f>'Sensor Unit'!L54</f>
        <v/>
      </c>
    </row>
    <row r="103">
      <c r="A103" s="41" t="str">
        <f>'Sensor Unit'!A55</f>
        <v>HARDWARE:</v>
      </c>
      <c r="B103" s="41" t="str">
        <f>'Sensor Unit'!B55</f>
        <v/>
      </c>
      <c r="C103" s="41" t="str">
        <f>'Sensor Unit'!C55</f>
        <v/>
      </c>
      <c r="D103" s="41" t="str">
        <f>'Sensor Unit'!D55</f>
        <v/>
      </c>
      <c r="O103" s="41" t="str">
        <f>'Sensor Unit'!E55</f>
        <v/>
      </c>
      <c r="P103" s="41" t="str">
        <f>'Sensor Unit'!F55</f>
        <v/>
      </c>
      <c r="Q103" s="41" t="str">
        <f>'Sensor Unit'!G55</f>
        <v/>
      </c>
      <c r="R103" s="41" t="str">
        <f>'Sensor Unit'!H55</f>
        <v/>
      </c>
      <c r="S103" s="41" t="str">
        <f>'Sensor Unit'!I55</f>
        <v/>
      </c>
      <c r="T103" s="41" t="str">
        <f>'Sensor Unit'!J55</f>
        <v/>
      </c>
      <c r="U103" s="41" t="str">
        <f>'Sensor Unit'!K55</f>
        <v/>
      </c>
      <c r="V103" s="41" t="str">
        <f>'Sensor Unit'!L55</f>
        <v/>
      </c>
    </row>
    <row r="104">
      <c r="A104" s="41" t="str">
        <f>'Sensor Unit'!A56</f>
        <v>- Adaptive sampling (no cost, +8hr): Sample every 10min when stable,</v>
      </c>
      <c r="B104" s="41" t="str">
        <f>'Sensor Unit'!B56</f>
        <v/>
      </c>
      <c r="C104" s="41" t="str">
        <f>'Sensor Unit'!C56</f>
        <v/>
      </c>
      <c r="D104" s="41" t="str">
        <f>'Sensor Unit'!D56</f>
        <v/>
      </c>
      <c r="O104" s="41" t="str">
        <f>'Sensor Unit'!E56</f>
        <v/>
      </c>
      <c r="P104" s="41" t="str">
        <f>'Sensor Unit'!F56</f>
        <v/>
      </c>
      <c r="Q104" s="41" t="str">
        <f>'Sensor Unit'!G56</f>
        <v/>
      </c>
      <c r="R104" s="41" t="str">
        <f>'Sensor Unit'!H56</f>
        <v/>
      </c>
      <c r="S104" s="41" t="str">
        <f>'Sensor Unit'!I56</f>
        <v/>
      </c>
      <c r="T104" s="41" t="str">
        <f>'Sensor Unit'!J56</f>
        <v/>
      </c>
      <c r="U104" s="41" t="str">
        <f>'Sensor Unit'!K56</f>
        <v/>
      </c>
      <c r="V104" s="41" t="str">
        <f>'Sensor Unit'!L56</f>
        <v/>
      </c>
    </row>
    <row r="105">
      <c r="A105" s="41" t="str">
        <f>'Sensor Unit'!A57</f>
        <v>every 2min during disturbances. Saves 20-30% power. RECOMMENDED.</v>
      </c>
      <c r="B105" s="41" t="str">
        <f>'Sensor Unit'!B57</f>
        <v/>
      </c>
      <c r="C105" s="41" t="str">
        <f>'Sensor Unit'!C57</f>
        <v/>
      </c>
      <c r="D105" s="41" t="str">
        <f>'Sensor Unit'!D57</f>
        <v/>
      </c>
      <c r="O105" s="41" t="str">
        <f>'Sensor Unit'!E57</f>
        <v/>
      </c>
      <c r="P105" s="41" t="str">
        <f>'Sensor Unit'!F57</f>
        <v/>
      </c>
      <c r="Q105" s="41" t="str">
        <f>'Sensor Unit'!G57</f>
        <v/>
      </c>
      <c r="R105" s="41" t="str">
        <f>'Sensor Unit'!H57</f>
        <v/>
      </c>
      <c r="S105" s="41" t="str">
        <f>'Sensor Unit'!I57</f>
        <v/>
      </c>
      <c r="T105" s="41" t="str">
        <f>'Sensor Unit'!J57</f>
        <v/>
      </c>
      <c r="U105" s="41" t="str">
        <f>'Sensor Unit'!K57</f>
        <v/>
      </c>
      <c r="V105" s="41" t="str">
        <f>'Sensor Unit'!L57</f>
        <v/>
      </c>
    </row>
    <row r="106">
      <c r="A106" s="41" t="str">
        <f>'Sensor Unit'!A58</f>
        <v>- Wireless charging (+$5, +5hr): Qi coil for cable-free charging.</v>
      </c>
      <c r="B106" s="41" t="str">
        <f>'Sensor Unit'!B58</f>
        <v/>
      </c>
      <c r="C106" s="41" t="str">
        <f>'Sensor Unit'!C58</f>
        <v/>
      </c>
      <c r="D106" s="41" t="str">
        <f>'Sensor Unit'!D58</f>
        <v/>
      </c>
      <c r="O106" s="41" t="str">
        <f>'Sensor Unit'!E58</f>
        <v/>
      </c>
      <c r="P106" s="41" t="str">
        <f>'Sensor Unit'!F58</f>
        <v/>
      </c>
      <c r="Q106" s="41" t="str">
        <f>'Sensor Unit'!G58</f>
        <v/>
      </c>
      <c r="R106" s="41" t="str">
        <f>'Sensor Unit'!H58</f>
        <v/>
      </c>
      <c r="S106" s="41" t="str">
        <f>'Sensor Unit'!I58</f>
        <v/>
      </c>
      <c r="T106" s="41" t="str">
        <f>'Sensor Unit'!J58</f>
        <v/>
      </c>
      <c r="U106" s="41" t="str">
        <f>'Sensor Unit'!K58</f>
        <v/>
      </c>
      <c r="V106" s="41" t="str">
        <f>'Sensor Unit'!L58</f>
        <v/>
      </c>
    </row>
    <row r="107">
      <c r="A107" s="41" t="str">
        <f>'Sensor Unit'!A59</f>
        <v>Major convenience boost.</v>
      </c>
      <c r="B107" s="41" t="str">
        <f>'Sensor Unit'!B59</f>
        <v/>
      </c>
      <c r="C107" s="41" t="str">
        <f>'Sensor Unit'!C59</f>
        <v/>
      </c>
      <c r="D107" s="41" t="str">
        <f>'Sensor Unit'!D59</f>
        <v/>
      </c>
      <c r="O107" s="41" t="str">
        <f>'Sensor Unit'!E59</f>
        <v/>
      </c>
      <c r="P107" s="41" t="str">
        <f>'Sensor Unit'!F59</f>
        <v/>
      </c>
      <c r="Q107" s="41" t="str">
        <f>'Sensor Unit'!G59</f>
        <v/>
      </c>
      <c r="R107" s="41" t="str">
        <f>'Sensor Unit'!H59</f>
        <v/>
      </c>
      <c r="S107" s="41" t="str">
        <f>'Sensor Unit'!I59</f>
        <v/>
      </c>
      <c r="T107" s="41" t="str">
        <f>'Sensor Unit'!J59</f>
        <v/>
      </c>
      <c r="U107" s="41" t="str">
        <f>'Sensor Unit'!K59</f>
        <v/>
      </c>
      <c r="V107" s="41" t="str">
        <f>'Sensor Unit'!L59</f>
        <v/>
      </c>
    </row>
    <row r="108">
      <c r="A108" s="41" t="str">
        <f>'Sensor Unit'!A60</f>
        <v/>
      </c>
      <c r="B108" s="41" t="str">
        <f>'Sensor Unit'!B60</f>
        <v/>
      </c>
      <c r="C108" s="41" t="str">
        <f>'Sensor Unit'!C60</f>
        <v/>
      </c>
      <c r="D108" s="41" t="str">
        <f>'Sensor Unit'!D60</f>
        <v/>
      </c>
      <c r="O108" s="41" t="str">
        <f>'Sensor Unit'!E60</f>
        <v/>
      </c>
      <c r="P108" s="41" t="str">
        <f>'Sensor Unit'!F60</f>
        <v/>
      </c>
      <c r="Q108" s="41" t="str">
        <f>'Sensor Unit'!G60</f>
        <v/>
      </c>
      <c r="R108" s="41" t="str">
        <f>'Sensor Unit'!H60</f>
        <v/>
      </c>
      <c r="S108" s="41" t="str">
        <f>'Sensor Unit'!I60</f>
        <v/>
      </c>
      <c r="T108" s="41" t="str">
        <f>'Sensor Unit'!J60</f>
        <v/>
      </c>
      <c r="U108" s="41" t="str">
        <f>'Sensor Unit'!K60</f>
        <v/>
      </c>
      <c r="V108" s="41" t="str">
        <f>'Sensor Unit'!L60</f>
        <v/>
      </c>
    </row>
    <row r="109">
      <c r="A109" s="41" t="str">
        <f>'Sensor Unit'!A61</f>
        <v>SOFTWARE:</v>
      </c>
      <c r="B109" s="41" t="str">
        <f>'Sensor Unit'!B61</f>
        <v/>
      </c>
      <c r="C109" s="41" t="str">
        <f>'Sensor Unit'!C61</f>
        <v/>
      </c>
      <c r="D109" s="41" t="str">
        <f>'Sensor Unit'!D61</f>
        <v/>
      </c>
      <c r="O109" s="41" t="str">
        <f>'Sensor Unit'!E61</f>
        <v/>
      </c>
      <c r="P109" s="41" t="str">
        <f>'Sensor Unit'!F61</f>
        <v/>
      </c>
      <c r="Q109" s="41" t="str">
        <f>'Sensor Unit'!G61</f>
        <v/>
      </c>
      <c r="R109" s="41" t="str">
        <f>'Sensor Unit'!H61</f>
        <v/>
      </c>
      <c r="S109" s="41" t="str">
        <f>'Sensor Unit'!I61</f>
        <v/>
      </c>
      <c r="T109" s="41" t="str">
        <f>'Sensor Unit'!J61</f>
        <v/>
      </c>
      <c r="U109" s="41" t="str">
        <f>'Sensor Unit'!K61</f>
        <v/>
      </c>
      <c r="V109" s="41" t="str">
        <f>'Sensor Unit'!L61</f>
        <v/>
      </c>
    </row>
    <row r="110">
      <c r="A110" s="41" t="str">
        <f>'Sensor Unit'!A62</f>
        <v>- Battery % indicator (no cost, +2hr): ESP32 ADC monitors voltage.</v>
      </c>
      <c r="B110" s="41" t="str">
        <f>'Sensor Unit'!B62</f>
        <v/>
      </c>
      <c r="C110" s="41" t="str">
        <f>'Sensor Unit'!C62</f>
        <v/>
      </c>
      <c r="D110" s="41" t="str">
        <f>'Sensor Unit'!D62</f>
        <v/>
      </c>
      <c r="O110" s="41" t="str">
        <f>'Sensor Unit'!E62</f>
        <v/>
      </c>
      <c r="P110" s="41" t="str">
        <f>'Sensor Unit'!F62</f>
        <v/>
      </c>
      <c r="Q110" s="41" t="str">
        <f>'Sensor Unit'!G62</f>
        <v/>
      </c>
      <c r="R110" s="41" t="str">
        <f>'Sensor Unit'!H62</f>
        <v/>
      </c>
      <c r="S110" s="41" t="str">
        <f>'Sensor Unit'!I62</f>
        <v/>
      </c>
      <c r="T110" s="41" t="str">
        <f>'Sensor Unit'!J62</f>
        <v/>
      </c>
      <c r="U110" s="41" t="str">
        <f>'Sensor Unit'!K62</f>
        <v/>
      </c>
      <c r="V110" s="41" t="str">
        <f>'Sensor Unit'!L62</f>
        <v/>
      </c>
    </row>
    <row r="111">
      <c r="A111" s="41" t="str">
        <f>'Sensor Unit'!A63</f>
        <v>ESSENTIAL for UX.</v>
      </c>
      <c r="B111" s="41" t="str">
        <f>'Sensor Unit'!B63</f>
        <v/>
      </c>
      <c r="C111" s="41" t="str">
        <f>'Sensor Unit'!C63</f>
        <v/>
      </c>
      <c r="D111" s="41" t="str">
        <f>'Sensor Unit'!D63</f>
        <v/>
      </c>
      <c r="O111" s="41" t="str">
        <f>'Sensor Unit'!E63</f>
        <v/>
      </c>
      <c r="P111" s="41" t="str">
        <f>'Sensor Unit'!F63</f>
        <v/>
      </c>
      <c r="Q111" s="41" t="str">
        <f>'Sensor Unit'!G63</f>
        <v/>
      </c>
      <c r="R111" s="41" t="str">
        <f>'Sensor Unit'!H63</f>
        <v/>
      </c>
      <c r="S111" s="41" t="str">
        <f>'Sensor Unit'!I63</f>
        <v/>
      </c>
      <c r="T111" s="41" t="str">
        <f>'Sensor Unit'!J63</f>
        <v/>
      </c>
      <c r="U111" s="41" t="str">
        <f>'Sensor Unit'!K63</f>
        <v/>
      </c>
      <c r="V111" s="41" t="str">
        <f>'Sensor Unit'!L63</f>
        <v/>
      </c>
    </row>
    <row r="112">
      <c r="A112" s="41" t="str">
        <f>'Sensor Unit'!A64</f>
        <v>- Smart sleep detection (no cost, +10hr): Motion sensor detects when</v>
      </c>
      <c r="B112" s="41" t="str">
        <f>'Sensor Unit'!B64</f>
        <v/>
      </c>
      <c r="C112" s="41" t="str">
        <f>'Sensor Unit'!C64</f>
        <v/>
      </c>
      <c r="D112" s="41" t="str">
        <f>'Sensor Unit'!D64</f>
        <v/>
      </c>
      <c r="O112" s="41" t="str">
        <f>'Sensor Unit'!E64</f>
        <v/>
      </c>
      <c r="P112" s="41" t="str">
        <f>'Sensor Unit'!F64</f>
        <v/>
      </c>
      <c r="Q112" s="41" t="str">
        <f>'Sensor Unit'!G64</f>
        <v/>
      </c>
      <c r="R112" s="41" t="str">
        <f>'Sensor Unit'!H64</f>
        <v/>
      </c>
      <c r="S112" s="41" t="str">
        <f>'Sensor Unit'!I64</f>
        <v/>
      </c>
      <c r="T112" s="41" t="str">
        <f>'Sensor Unit'!J64</f>
        <v/>
      </c>
      <c r="U112" s="41" t="str">
        <f>'Sensor Unit'!K64</f>
        <v/>
      </c>
      <c r="V112" s="41" t="str">
        <f>'Sensor Unit'!L64</f>
        <v/>
      </c>
    </row>
    <row r="113">
      <c r="A113" s="41" t="str">
        <f>'Sensor Unit'!A65</f>
        <v>user in bed. Saves 5-10% power.</v>
      </c>
      <c r="B113" s="41" t="str">
        <f>'Sensor Unit'!B65</f>
        <v/>
      </c>
      <c r="C113" s="41" t="str">
        <f>'Sensor Unit'!C65</f>
        <v/>
      </c>
      <c r="D113" s="41" t="str">
        <f>'Sensor Unit'!D65</f>
        <v/>
      </c>
      <c r="O113" s="41" t="str">
        <f>'Sensor Unit'!E65</f>
        <v/>
      </c>
      <c r="P113" s="41" t="str">
        <f>'Sensor Unit'!F65</f>
        <v/>
      </c>
      <c r="Q113" s="41" t="str">
        <f>'Sensor Unit'!G65</f>
        <v/>
      </c>
      <c r="R113" s="41" t="str">
        <f>'Sensor Unit'!H65</f>
        <v/>
      </c>
      <c r="S113" s="41" t="str">
        <f>'Sensor Unit'!I65</f>
        <v/>
      </c>
      <c r="T113" s="41" t="str">
        <f>'Sensor Unit'!J65</f>
        <v/>
      </c>
      <c r="U113" s="41" t="str">
        <f>'Sensor Unit'!K65</f>
        <v/>
      </c>
      <c r="V113" s="41" t="str">
        <f>'Sensor Unit'!L65</f>
        <v/>
      </c>
    </row>
    <row r="114">
      <c r="A114" s="41" t="str">
        <f>'Sensor Unit'!A66</f>
        <v/>
      </c>
      <c r="B114" s="41" t="str">
        <f>'Sensor Unit'!B66</f>
        <v/>
      </c>
      <c r="C114" s="41" t="str">
        <f>'Sensor Unit'!C66</f>
        <v/>
      </c>
      <c r="D114" s="41" t="str">
        <f>'Sensor Unit'!D66</f>
        <v/>
      </c>
      <c r="O114" s="41" t="str">
        <f>'Sensor Unit'!E66</f>
        <v/>
      </c>
      <c r="P114" s="41" t="str">
        <f>'Sensor Unit'!F66</f>
        <v/>
      </c>
      <c r="Q114" s="41" t="str">
        <f>'Sensor Unit'!G66</f>
        <v/>
      </c>
      <c r="R114" s="41" t="str">
        <f>'Sensor Unit'!H66</f>
        <v/>
      </c>
      <c r="S114" s="41" t="str">
        <f>'Sensor Unit'!I66</f>
        <v/>
      </c>
      <c r="T114" s="41" t="str">
        <f>'Sensor Unit'!J66</f>
        <v/>
      </c>
      <c r="U114" s="41" t="str">
        <f>'Sensor Unit'!K66</f>
        <v/>
      </c>
      <c r="V114" s="41" t="str">
        <f>'Sensor Unit'!L66</f>
        <v/>
      </c>
    </row>
    <row r="115">
      <c r="A115" s="41" t="str">
        <f>'Sensor Unit'!A67</f>
        <v/>
      </c>
      <c r="B115" s="41" t="str">
        <f>'Sensor Unit'!B67</f>
        <v/>
      </c>
      <c r="C115" s="41" t="str">
        <f>'Sensor Unit'!C67</f>
        <v/>
      </c>
      <c r="D115" s="41" t="str">
        <f>'Sensor Unit'!D67</f>
        <v/>
      </c>
      <c r="O115" s="41" t="str">
        <f>'Sensor Unit'!E67</f>
        <v/>
      </c>
      <c r="P115" s="41" t="str">
        <f>'Sensor Unit'!F67</f>
        <v/>
      </c>
      <c r="Q115" s="41" t="str">
        <f>'Sensor Unit'!G67</f>
        <v/>
      </c>
      <c r="R115" s="41" t="str">
        <f>'Sensor Unit'!H67</f>
        <v/>
      </c>
      <c r="S115" s="41" t="str">
        <f>'Sensor Unit'!I67</f>
        <v/>
      </c>
      <c r="T115" s="41" t="str">
        <f>'Sensor Unit'!J67</f>
        <v/>
      </c>
      <c r="U115" s="41" t="str">
        <f>'Sensor Unit'!K67</f>
        <v/>
      </c>
      <c r="V115" s="41" t="str">
        <f>'Sensor Unit'!L67</f>
        <v/>
      </c>
    </row>
    <row r="116">
      <c r="A116" s="41" t="str">
        <f>'Sensor Unit'!A68</f>
        <v/>
      </c>
      <c r="B116" s="41" t="str">
        <f>'Sensor Unit'!B68</f>
        <v/>
      </c>
      <c r="C116" s="41" t="str">
        <f>'Sensor Unit'!C68</f>
        <v/>
      </c>
      <c r="D116" s="41" t="str">
        <f>'Sensor Unit'!D68</f>
        <v/>
      </c>
      <c r="O116" s="41" t="str">
        <f>'Sensor Unit'!E68</f>
        <v/>
      </c>
      <c r="P116" s="41" t="str">
        <f>'Sensor Unit'!F68</f>
        <v/>
      </c>
      <c r="Q116" s="41" t="str">
        <f>'Sensor Unit'!G68</f>
        <v/>
      </c>
      <c r="R116" s="41" t="str">
        <f>'Sensor Unit'!H68</f>
        <v/>
      </c>
      <c r="S116" s="41" t="str">
        <f>'Sensor Unit'!I68</f>
        <v/>
      </c>
      <c r="T116" s="41" t="str">
        <f>'Sensor Unit'!J68</f>
        <v/>
      </c>
      <c r="U116" s="41" t="str">
        <f>'Sensor Unit'!K68</f>
        <v/>
      </c>
      <c r="V116" s="41" t="str">
        <f>'Sensor Unit'!L68</f>
        <v/>
      </c>
    </row>
    <row r="117">
      <c r="A117" s="41" t="str">
        <f>'Sensor Unit'!A69</f>
        <v/>
      </c>
      <c r="B117" s="41" t="str">
        <f>'Sensor Unit'!B69</f>
        <v/>
      </c>
      <c r="C117" s="41" t="str">
        <f>'Sensor Unit'!C69</f>
        <v/>
      </c>
      <c r="D117" s="41" t="str">
        <f>'Sensor Unit'!D69</f>
        <v/>
      </c>
      <c r="O117" s="41" t="str">
        <f>'Sensor Unit'!E69</f>
        <v/>
      </c>
      <c r="P117" s="41" t="str">
        <f>'Sensor Unit'!F69</f>
        <v/>
      </c>
      <c r="Q117" s="41" t="str">
        <f>'Sensor Unit'!G69</f>
        <v/>
      </c>
      <c r="R117" s="41" t="str">
        <f>'Sensor Unit'!H69</f>
        <v/>
      </c>
      <c r="S117" s="41" t="str">
        <f>'Sensor Unit'!I69</f>
        <v/>
      </c>
      <c r="T117" s="41" t="str">
        <f>'Sensor Unit'!J69</f>
        <v/>
      </c>
      <c r="U117" s="41" t="str">
        <f>'Sensor Unit'!K69</f>
        <v/>
      </c>
      <c r="V117" s="41" t="str">
        <f>'Sensor Unit'!L69</f>
        <v/>
      </c>
    </row>
    <row r="118">
      <c r="A118" s="41" t="str">
        <f>'Sensor Unit'!A70</f>
        <v/>
      </c>
      <c r="B118" s="41" t="str">
        <f>'Sensor Unit'!B70</f>
        <v/>
      </c>
      <c r="C118" s="41" t="str">
        <f>'Sensor Unit'!C70</f>
        <v/>
      </c>
      <c r="D118" s="41" t="str">
        <f>'Sensor Unit'!D70</f>
        <v/>
      </c>
      <c r="O118" s="41" t="str">
        <f>'Sensor Unit'!E70</f>
        <v/>
      </c>
      <c r="P118" s="41" t="str">
        <f>'Sensor Unit'!F70</f>
        <v/>
      </c>
      <c r="Q118" s="41" t="str">
        <f>'Sensor Unit'!G70</f>
        <v/>
      </c>
      <c r="R118" s="41" t="str">
        <f>'Sensor Unit'!H70</f>
        <v/>
      </c>
      <c r="S118" s="41" t="str">
        <f>'Sensor Unit'!I70</f>
        <v/>
      </c>
      <c r="T118" s="41" t="str">
        <f>'Sensor Unit'!J70</f>
        <v/>
      </c>
      <c r="U118" s="41" t="str">
        <f>'Sensor Unit'!K70</f>
        <v/>
      </c>
      <c r="V118" s="41" t="str">
        <f>'Sensor Unit'!L70</f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50">
      <c r="A50" s="9" t="s">
        <v>96</v>
      </c>
    </row>
    <row r="52">
      <c r="A52" s="41" t="str">
        <f>'Sensor Unit'!A3</f>
        <v>System Parameters (defined by hardware)</v>
      </c>
      <c r="B52" s="41" t="str">
        <f>'Sensor Unit'!B3</f>
        <v/>
      </c>
      <c r="C52" s="41" t="str">
        <f>'Sensor Unit'!C3</f>
        <v/>
      </c>
      <c r="D52" s="41" t="str">
        <f>'Sensor Unit'!D3</f>
        <v/>
      </c>
      <c r="T52" s="41" t="str">
        <f>'Sensor Unit'!E3</f>
        <v>Profiles (usage of each component mode - defined by software and usage)</v>
      </c>
      <c r="U52" s="41" t="str">
        <f>'Sensor Unit'!F3</f>
        <v/>
      </c>
      <c r="V52" s="41" t="str">
        <f>'Sensor Unit'!G3</f>
        <v/>
      </c>
      <c r="W52" s="41" t="str">
        <f>'Sensor Unit'!H3</f>
        <v/>
      </c>
    </row>
    <row r="53">
      <c r="A53" s="41" t="str">
        <f>'Sensor Unit'!A4</f>
        <v/>
      </c>
      <c r="B53" s="41" t="str">
        <f>'Sensor Unit'!B4</f>
        <v>form the datasheets</v>
      </c>
      <c r="C53" s="41" t="str">
        <f>'Sensor Unit'!C4</f>
        <v/>
      </c>
      <c r="D53" s="41" t="str">
        <f>'Sensor Unit'!D4</f>
        <v/>
      </c>
      <c r="T53" s="41" t="str">
        <f>'Sensor Unit'!E4</f>
        <v/>
      </c>
      <c r="U53" s="41" t="str">
        <f>'Sensor Unit'!F4</f>
        <v/>
      </c>
      <c r="V53" s="41" t="str">
        <f>'Sensor Unit'!G4</f>
        <v/>
      </c>
      <c r="W53" s="41" t="str">
        <f>'Sensor Unit'!H4</f>
        <v/>
      </c>
    </row>
    <row r="54">
      <c r="A54" s="41" t="str">
        <f>'Sensor Unit'!A5</f>
        <v/>
      </c>
      <c r="B54" s="41" t="str">
        <f>'Sensor Unit'!B5</f>
        <v/>
      </c>
      <c r="C54" s="41" t="str">
        <f>'Sensor Unit'!C5</f>
        <v/>
      </c>
      <c r="D54" s="41" t="str">
        <f>'Sensor Unit'!D5</f>
        <v/>
      </c>
      <c r="T54" s="41" t="str">
        <f>'Sensor Unit'!E5</f>
        <v>"off"</v>
      </c>
      <c r="U54" s="41" t="str">
        <f>'Sensor Unit'!F5</f>
        <v>"sensing"</v>
      </c>
      <c r="V54" s="41" t="str">
        <f>'Sensor Unit'!G5</f>
        <v>"interactive"</v>
      </c>
      <c r="W54" s="41" t="str">
        <f>'Sensor Unit'!H5</f>
        <v/>
      </c>
    </row>
    <row r="55">
      <c r="A55" s="41" t="str">
        <f>'Sensor Unit'!A6</f>
        <v>Processor</v>
      </c>
      <c r="B55" s="60" t="str">
        <f>'Sensor Unit'!B6</f>
        <v>https://github.com/liziying115-dev/Sleep-Environment-Recovery-Monitor/blob/main/datasheets/esp32-c3_datasheet.pdf</v>
      </c>
      <c r="C55" s="41" t="str">
        <f>'Sensor Unit'!C6</f>
        <v/>
      </c>
      <c r="D55" s="41" t="str">
        <f>'Sensor Unit'!D6</f>
        <v/>
      </c>
      <c r="W55" s="41" t="str">
        <f>'Sensor Unit'!H6</f>
        <v/>
      </c>
    </row>
    <row r="56">
      <c r="A56" s="41" t="str">
        <f>'Sensor Unit'!A7</f>
        <v>Active</v>
      </c>
      <c r="B56" s="18">
        <f>'Sensor Unit'!B7</f>
        <v>65.0003</v>
      </c>
      <c r="C56" s="41" t="str">
        <f>'Sensor Unit'!C7</f>
        <v>mW</v>
      </c>
      <c r="D56" s="41">
        <f>$B56*0.9</f>
        <v>58.50027</v>
      </c>
      <c r="E56" s="18">
        <f t="shared" ref="E56:O56" si="1">$B56</f>
        <v>65.0003</v>
      </c>
      <c r="F56" s="18">
        <f t="shared" si="1"/>
        <v>65.0003</v>
      </c>
      <c r="G56" s="18">
        <f t="shared" si="1"/>
        <v>65.0003</v>
      </c>
      <c r="H56" s="18">
        <f t="shared" si="1"/>
        <v>65.0003</v>
      </c>
      <c r="I56" s="18">
        <f t="shared" si="1"/>
        <v>65.0003</v>
      </c>
      <c r="J56" s="18">
        <f t="shared" si="1"/>
        <v>65.0003</v>
      </c>
      <c r="K56" s="18">
        <f t="shared" si="1"/>
        <v>65.0003</v>
      </c>
      <c r="L56" s="18">
        <f t="shared" si="1"/>
        <v>65.0003</v>
      </c>
      <c r="M56" s="18">
        <f t="shared" si="1"/>
        <v>65.0003</v>
      </c>
      <c r="N56" s="18">
        <f t="shared" si="1"/>
        <v>65.0003</v>
      </c>
      <c r="O56" s="18">
        <f t="shared" si="1"/>
        <v>65.0003</v>
      </c>
      <c r="T56" s="61">
        <f>'Sensor Unit'!E7</f>
        <v>0</v>
      </c>
      <c r="U56" s="31">
        <f>'Display Unit'!F7</f>
        <v>0.0028</v>
      </c>
      <c r="V56" s="61">
        <f>'Display Unit'!G7</f>
        <v>1</v>
      </c>
      <c r="W56" s="41" t="str">
        <f>'Sensor Unit'!H7</f>
        <v/>
      </c>
    </row>
    <row r="57">
      <c r="A57" s="41" t="str">
        <f>'Sensor Unit'!A8</f>
        <v>Idle</v>
      </c>
      <c r="B57" s="18">
        <f>'Sensor Unit'!B8</f>
        <v>10.0002</v>
      </c>
      <c r="C57" s="41" t="str">
        <f>'Sensor Unit'!C8</f>
        <v>mW</v>
      </c>
      <c r="D57" s="18">
        <f t="shared" ref="D57:D58" si="3">$B57</f>
        <v>10.0002</v>
      </c>
      <c r="E57" s="41">
        <f>$B57*0.9</f>
        <v>9.00018</v>
      </c>
      <c r="F57" s="18">
        <f t="shared" ref="F57:O57" si="2">$B57</f>
        <v>10.0002</v>
      </c>
      <c r="G57" s="18">
        <f t="shared" si="2"/>
        <v>10.0002</v>
      </c>
      <c r="H57" s="18">
        <f t="shared" si="2"/>
        <v>10.0002</v>
      </c>
      <c r="I57" s="18">
        <f t="shared" si="2"/>
        <v>10.0002</v>
      </c>
      <c r="J57" s="18">
        <f t="shared" si="2"/>
        <v>10.0002</v>
      </c>
      <c r="K57" s="18">
        <f t="shared" si="2"/>
        <v>10.0002</v>
      </c>
      <c r="L57" s="18">
        <f t="shared" si="2"/>
        <v>10.0002</v>
      </c>
      <c r="M57" s="18">
        <f t="shared" si="2"/>
        <v>10.0002</v>
      </c>
      <c r="N57" s="18">
        <f t="shared" si="2"/>
        <v>10.0002</v>
      </c>
      <c r="O57" s="18">
        <f t="shared" si="2"/>
        <v>10.0002</v>
      </c>
      <c r="T57" s="61">
        <f>'Sensor Unit'!E8</f>
        <v>0</v>
      </c>
      <c r="U57" s="61">
        <f>'Display Unit'!F8</f>
        <v>0</v>
      </c>
      <c r="V57" s="61">
        <f>'Display Unit'!G8</f>
        <v>0</v>
      </c>
    </row>
    <row r="58">
      <c r="A58" s="41" t="str">
        <f>'Sensor Unit'!A9</f>
        <v>Sleep</v>
      </c>
      <c r="B58" s="18">
        <f>'Sensor Unit'!B9</f>
        <v>1.00035</v>
      </c>
      <c r="C58" s="41" t="str">
        <f>'Sensor Unit'!C9</f>
        <v>mW</v>
      </c>
      <c r="D58" s="18">
        <f t="shared" si="3"/>
        <v>1.00035</v>
      </c>
      <c r="E58" s="18">
        <f>$B58</f>
        <v>1.00035</v>
      </c>
      <c r="F58" s="41">
        <f>$B58*0.9</f>
        <v>0.900315</v>
      </c>
      <c r="G58" s="18">
        <f t="shared" ref="G58:O58" si="4">$B58</f>
        <v>1.00035</v>
      </c>
      <c r="H58" s="18">
        <f t="shared" si="4"/>
        <v>1.00035</v>
      </c>
      <c r="I58" s="18">
        <f t="shared" si="4"/>
        <v>1.00035</v>
      </c>
      <c r="J58" s="18">
        <f t="shared" si="4"/>
        <v>1.00035</v>
      </c>
      <c r="K58" s="18">
        <f t="shared" si="4"/>
        <v>1.00035</v>
      </c>
      <c r="L58" s="18">
        <f t="shared" si="4"/>
        <v>1.00035</v>
      </c>
      <c r="M58" s="18">
        <f t="shared" si="4"/>
        <v>1.00035</v>
      </c>
      <c r="N58" s="18">
        <f t="shared" si="4"/>
        <v>1.00035</v>
      </c>
      <c r="O58" s="18">
        <f t="shared" si="4"/>
        <v>1.00035</v>
      </c>
      <c r="T58" s="61">
        <f>'Sensor Unit'!E9</f>
        <v>1</v>
      </c>
      <c r="U58" s="31">
        <f>'Display Unit'!F9</f>
        <v>0.9972</v>
      </c>
      <c r="V58" s="61">
        <f>'Display Unit'!G9</f>
        <v>0</v>
      </c>
      <c r="W58" s="41" t="str">
        <f>'Display Unit'!H9</f>
        <v/>
      </c>
    </row>
    <row r="59">
      <c r="T59" s="41" t="str">
        <f>'Sensor Unit'!E10</f>
        <v/>
      </c>
      <c r="W59" s="41" t="str">
        <f>'Sensor Unit'!H10</f>
        <v/>
      </c>
    </row>
    <row r="60">
      <c r="A60" s="22" t="str">
        <f>'Display Unit'!A11</f>
        <v>LED</v>
      </c>
      <c r="B60" s="22" t="str">
        <f>'Display Unit'!B11</f>
        <v/>
      </c>
      <c r="C60" s="22" t="str">
        <f>'Display Unit'!C11</f>
        <v/>
      </c>
      <c r="D60" s="22" t="str">
        <f>'Display Unit'!D11</f>
        <v/>
      </c>
      <c r="E60" s="22" t="str">
        <f>'Display Unit'!E11</f>
        <v/>
      </c>
      <c r="F60" s="22" t="str">
        <f>'Display Unit'!F11</f>
        <v/>
      </c>
      <c r="G60" s="22" t="str">
        <f>'Display Unit'!G11</f>
        <v/>
      </c>
      <c r="H60" s="22" t="str">
        <f>'Display Unit'!H11</f>
        <v/>
      </c>
      <c r="I60" s="22" t="str">
        <f>'Display Unit'!I11</f>
        <v/>
      </c>
      <c r="J60" s="22" t="str">
        <f>'Display Unit'!J11</f>
        <v/>
      </c>
      <c r="K60" s="22" t="str">
        <f>'Display Unit'!K11</f>
        <v/>
      </c>
      <c r="L60" s="22" t="str">
        <f>'Display Unit'!L11</f>
        <v/>
      </c>
      <c r="M60" s="22" t="str">
        <f>'Display Unit'!M11</f>
        <v/>
      </c>
      <c r="N60" s="22" t="str">
        <f>'Display Unit'!N11</f>
        <v/>
      </c>
      <c r="O60" s="22" t="str">
        <f>'Display Unit'!O11</f>
        <v/>
      </c>
      <c r="W60" s="41" t="str">
        <f>'Sensor Unit'!H11</f>
        <v/>
      </c>
    </row>
    <row r="61">
      <c r="A61" s="22" t="str">
        <f>'Display Unit'!A12</f>
        <v>On</v>
      </c>
      <c r="B61" s="68">
        <f>'Display Unit'!B12</f>
        <v>5</v>
      </c>
      <c r="C61" s="68" t="str">
        <f>'Display Unit'!C12</f>
        <v>mW</v>
      </c>
      <c r="D61" s="34">
        <f>B61</f>
        <v>5</v>
      </c>
      <c r="E61" s="34">
        <f>B61</f>
        <v>5</v>
      </c>
      <c r="F61" s="34">
        <f>D61</f>
        <v>5</v>
      </c>
      <c r="G61" s="69">
        <f>E61*0.9</f>
        <v>4.5</v>
      </c>
      <c r="H61" s="34">
        <f t="shared" ref="H61:O61" si="5">F61</f>
        <v>5</v>
      </c>
      <c r="I61" s="34">
        <f t="shared" si="5"/>
        <v>4.5</v>
      </c>
      <c r="J61" s="34">
        <f t="shared" si="5"/>
        <v>5</v>
      </c>
      <c r="K61" s="34">
        <f t="shared" si="5"/>
        <v>4.5</v>
      </c>
      <c r="L61" s="34">
        <f t="shared" si="5"/>
        <v>5</v>
      </c>
      <c r="M61" s="34">
        <f t="shared" si="5"/>
        <v>4.5</v>
      </c>
      <c r="N61" s="34">
        <f t="shared" si="5"/>
        <v>5</v>
      </c>
      <c r="O61" s="34">
        <f t="shared" si="5"/>
        <v>4.5</v>
      </c>
      <c r="W61" s="41" t="str">
        <f>'Sensor Unit'!H12</f>
        <v/>
      </c>
    </row>
    <row r="62">
      <c r="W62" s="41" t="str">
        <f>'Sensor Unit'!H13</f>
        <v/>
      </c>
    </row>
    <row r="63">
      <c r="W63" s="41" t="str">
        <f>'Sensor Unit'!H14</f>
        <v/>
      </c>
    </row>
    <row r="64">
      <c r="A64" s="22" t="str">
        <f>'Display Unit'!A14</f>
        <v>Display (SSD1306 OLED)</v>
      </c>
      <c r="B64" s="70" t="str">
        <f>'Display Unit'!B14</f>
        <v/>
      </c>
      <c r="C64" s="71" t="str">
        <f>'Display Unit'!C14</f>
        <v>https://github.com/liziying115-dev/Sleep-Environment-Recovery-Monitor/blob/main/datasheets/ssd1306_datasheet.pdf</v>
      </c>
      <c r="D64" s="22" t="str">
        <f>'Display Unit'!D14</f>
        <v/>
      </c>
      <c r="E64" s="22" t="str">
        <f>'Display Unit'!E14</f>
        <v/>
      </c>
      <c r="F64" s="22" t="str">
        <f>'Display Unit'!F14</f>
        <v/>
      </c>
      <c r="G64" s="22" t="str">
        <f>'Display Unit'!G14</f>
        <v/>
      </c>
      <c r="H64" s="22" t="str">
        <f>'Display Unit'!H14</f>
        <v/>
      </c>
      <c r="I64" s="22" t="str">
        <f>'Display Unit'!I14</f>
        <v/>
      </c>
      <c r="J64" s="22" t="str">
        <f>'Display Unit'!J14</f>
        <v/>
      </c>
      <c r="K64" s="22" t="str">
        <f>'Display Unit'!K14</f>
        <v/>
      </c>
      <c r="L64" s="22" t="str">
        <f>'Display Unit'!L14</f>
        <v/>
      </c>
      <c r="M64" s="22" t="str">
        <f>'Display Unit'!M14</f>
        <v/>
      </c>
      <c r="N64" s="22" t="str">
        <f>'Display Unit'!N14</f>
        <v/>
      </c>
      <c r="O64" s="22" t="str">
        <f>'Display Unit'!O14</f>
        <v/>
      </c>
      <c r="T64" s="41" t="str">
        <f>'Sensor Unit'!E11</f>
        <v/>
      </c>
      <c r="U64" s="41" t="str">
        <f>'Sensor Unit'!F11</f>
        <v/>
      </c>
      <c r="V64" s="41" t="str">
        <f>'Sensor Unit'!G11</f>
        <v/>
      </c>
      <c r="W64" s="41" t="str">
        <f>'Sensor Unit'!H15</f>
        <v/>
      </c>
    </row>
    <row r="65">
      <c r="A65" s="22" t="str">
        <f>'Display Unit'!A15</f>
        <v>On</v>
      </c>
      <c r="B65" s="70">
        <f>'Display Unit'!B15</f>
        <v>20.00012</v>
      </c>
      <c r="C65" s="22" t="str">
        <f>'Display Unit'!C15</f>
        <v>mW</v>
      </c>
      <c r="D65" s="70">
        <f t="shared" ref="D65:D66" si="8">B65</f>
        <v>20.00012</v>
      </c>
      <c r="E65" s="70">
        <f t="shared" ref="E65:E66" si="9">B65</f>
        <v>20.00012</v>
      </c>
      <c r="F65" s="70">
        <f t="shared" ref="F65:G65" si="6">D65</f>
        <v>20.00012</v>
      </c>
      <c r="G65" s="70">
        <f t="shared" si="6"/>
        <v>20.00012</v>
      </c>
      <c r="H65" s="22">
        <f>F65*0.9</f>
        <v>18.000108</v>
      </c>
      <c r="I65" s="70">
        <f>G65</f>
        <v>20.00012</v>
      </c>
      <c r="J65" s="70">
        <f>B65</f>
        <v>20.00012</v>
      </c>
      <c r="K65" s="70">
        <f t="shared" ref="K65:O65" si="7">I65</f>
        <v>20.00012</v>
      </c>
      <c r="L65" s="70">
        <f t="shared" si="7"/>
        <v>20.00012</v>
      </c>
      <c r="M65" s="70">
        <f t="shared" si="7"/>
        <v>20.00012</v>
      </c>
      <c r="N65" s="70">
        <f t="shared" si="7"/>
        <v>20.00012</v>
      </c>
      <c r="O65" s="70">
        <f t="shared" si="7"/>
        <v>20.00012</v>
      </c>
      <c r="T65" s="61">
        <f>'Display Unit'!E15</f>
        <v>0</v>
      </c>
      <c r="U65" s="61">
        <f>'Display Unit'!F15</f>
        <v>0</v>
      </c>
      <c r="V65" s="61">
        <f>'Display Unit'!G15</f>
        <v>1</v>
      </c>
      <c r="W65" s="41" t="str">
        <f>'Sensor Unit'!H16</f>
        <v/>
      </c>
    </row>
    <row r="66">
      <c r="A66" s="22" t="str">
        <f>'Display Unit'!A16</f>
        <v>Off (leakage)</v>
      </c>
      <c r="B66" s="70">
        <f>'Display Unit'!B16</f>
        <v>1.0006</v>
      </c>
      <c r="C66" s="22" t="str">
        <f>'Display Unit'!C16</f>
        <v>mW</v>
      </c>
      <c r="D66" s="70">
        <f t="shared" si="8"/>
        <v>1.0006</v>
      </c>
      <c r="E66" s="70">
        <f t="shared" si="9"/>
        <v>1.0006</v>
      </c>
      <c r="F66" s="70">
        <f t="shared" ref="F66:H66" si="10">D66</f>
        <v>1.0006</v>
      </c>
      <c r="G66" s="70">
        <f t="shared" si="10"/>
        <v>1.0006</v>
      </c>
      <c r="H66" s="70">
        <f t="shared" si="10"/>
        <v>1.0006</v>
      </c>
      <c r="I66" s="22">
        <f>G66*0.9</f>
        <v>0.90054</v>
      </c>
      <c r="J66" s="70">
        <f>H66</f>
        <v>1.0006</v>
      </c>
      <c r="K66" s="70">
        <f>B66</f>
        <v>1.0006</v>
      </c>
      <c r="L66" s="70">
        <f t="shared" ref="L66:O66" si="11">J66</f>
        <v>1.0006</v>
      </c>
      <c r="M66" s="70">
        <f t="shared" si="11"/>
        <v>1.0006</v>
      </c>
      <c r="N66" s="70">
        <f t="shared" si="11"/>
        <v>1.0006</v>
      </c>
      <c r="O66" s="70">
        <f t="shared" si="11"/>
        <v>1.0006</v>
      </c>
      <c r="T66" s="61">
        <f>'Display Unit'!E16</f>
        <v>1</v>
      </c>
      <c r="U66" s="61">
        <f>'Display Unit'!F16</f>
        <v>1</v>
      </c>
      <c r="V66" s="61">
        <f>'Display Unit'!G16</f>
        <v>0</v>
      </c>
      <c r="W66" s="31" t="str">
        <f>'Sensor Unit'!H17</f>
        <v/>
      </c>
    </row>
    <row r="67">
      <c r="A67" s="22" t="str">
        <f>'Display Unit'!A17</f>
        <v/>
      </c>
      <c r="B67" s="22" t="str">
        <f>'Display Unit'!B17</f>
        <v/>
      </c>
      <c r="C67" s="22" t="str">
        <f>'Display Unit'!C17</f>
        <v/>
      </c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T67" s="41" t="str">
        <f>'Display Unit'!E17</f>
        <v/>
      </c>
      <c r="W67" s="41" t="str">
        <f>'Sensor Unit'!H18</f>
        <v/>
      </c>
    </row>
    <row r="68">
      <c r="A68" s="22" t="str">
        <f>'Display Unit'!A18</f>
        <v>Motor &amp; Driver</v>
      </c>
      <c r="B68" s="70" t="str">
        <f>'Display Unit'!B18</f>
        <v/>
      </c>
      <c r="C68" s="22" t="str">
        <f>'Display Unit'!C18</f>
        <v/>
      </c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</row>
    <row r="69">
      <c r="A69" s="22" t="str">
        <f>'Display Unit'!A19</f>
        <v>Active</v>
      </c>
      <c r="B69" s="70">
        <f>'Display Unit'!B19</f>
        <v>300</v>
      </c>
      <c r="C69" s="22" t="str">
        <f>'Display Unit'!C19</f>
        <v>mW</v>
      </c>
      <c r="D69" s="70">
        <f t="shared" ref="D69:D70" si="14">B69</f>
        <v>300</v>
      </c>
      <c r="E69" s="70">
        <f t="shared" ref="E69:E70" si="15">B69</f>
        <v>300</v>
      </c>
      <c r="F69" s="70">
        <f t="shared" ref="F69:I69" si="12">D69</f>
        <v>300</v>
      </c>
      <c r="G69" s="70">
        <f t="shared" si="12"/>
        <v>300</v>
      </c>
      <c r="H69" s="70">
        <f t="shared" si="12"/>
        <v>300</v>
      </c>
      <c r="I69" s="70">
        <f t="shared" si="12"/>
        <v>300</v>
      </c>
      <c r="J69" s="22">
        <f>H69*0.9</f>
        <v>270</v>
      </c>
      <c r="K69" s="70">
        <f>I69</f>
        <v>300</v>
      </c>
      <c r="L69" s="70">
        <f>B69</f>
        <v>300</v>
      </c>
      <c r="M69" s="70">
        <f t="shared" ref="M69:O69" si="13">K69</f>
        <v>300</v>
      </c>
      <c r="N69" s="70">
        <f t="shared" si="13"/>
        <v>300</v>
      </c>
      <c r="O69" s="70">
        <f t="shared" si="13"/>
        <v>300</v>
      </c>
      <c r="T69" s="61">
        <f>'Display Unit'!E19</f>
        <v>0</v>
      </c>
      <c r="U69" s="61">
        <f>'Display Unit'!F19</f>
        <v>0</v>
      </c>
      <c r="V69" s="61">
        <f>'Display Unit'!G19</f>
        <v>0.143</v>
      </c>
      <c r="W69" s="41" t="str">
        <f>'Sensor Unit'!H20</f>
        <v/>
      </c>
    </row>
    <row r="70">
      <c r="A70" s="22" t="str">
        <f>'Display Unit'!A20</f>
        <v>Standby</v>
      </c>
      <c r="B70" s="22">
        <f>'Display Unit'!B20</f>
        <v>5</v>
      </c>
      <c r="C70" s="22" t="str">
        <f>'Display Unit'!C20</f>
        <v>mW</v>
      </c>
      <c r="D70" s="22">
        <f t="shared" si="14"/>
        <v>5</v>
      </c>
      <c r="E70" s="22">
        <f t="shared" si="15"/>
        <v>5</v>
      </c>
      <c r="F70" s="22">
        <f t="shared" ref="F70:J70" si="16">D70</f>
        <v>5</v>
      </c>
      <c r="G70" s="22">
        <f t="shared" si="16"/>
        <v>5</v>
      </c>
      <c r="H70" s="22">
        <f t="shared" si="16"/>
        <v>5</v>
      </c>
      <c r="I70" s="22">
        <f t="shared" si="16"/>
        <v>5</v>
      </c>
      <c r="J70" s="22">
        <f t="shared" si="16"/>
        <v>5</v>
      </c>
      <c r="K70" s="22">
        <f>I70*0.9</f>
        <v>4.5</v>
      </c>
      <c r="L70" s="22">
        <f>J70</f>
        <v>5</v>
      </c>
      <c r="M70" s="22">
        <f>B70</f>
        <v>5</v>
      </c>
      <c r="N70" s="22">
        <f t="shared" ref="N70:O70" si="17">L70</f>
        <v>5</v>
      </c>
      <c r="O70" s="22">
        <f t="shared" si="17"/>
        <v>5</v>
      </c>
      <c r="T70" s="61">
        <f>'Display Unit'!E20</f>
        <v>1</v>
      </c>
      <c r="U70" s="61">
        <f>'Display Unit'!F20</f>
        <v>1</v>
      </c>
      <c r="V70" s="63">
        <f>'Display Unit'!G20</f>
        <v>0.857</v>
      </c>
      <c r="W70" s="41" t="str">
        <f>'Sensor Unit'!H21</f>
        <v/>
      </c>
    </row>
    <row r="71">
      <c r="A71" s="22" t="str">
        <f>'Display Unit'!A21</f>
        <v/>
      </c>
      <c r="B71" s="22" t="str">
        <f>'Display Unit'!B21</f>
        <v/>
      </c>
      <c r="C71" s="22" t="str">
        <f>'Display Unit'!C21</f>
        <v/>
      </c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</row>
    <row r="72">
      <c r="A72" s="22" t="str">
        <f>'Display Unit'!A22</f>
        <v/>
      </c>
      <c r="B72" s="22" t="str">
        <f>'Display Unit'!B22</f>
        <v/>
      </c>
      <c r="C72" s="22" t="str">
        <f>'Display Unit'!C22</f>
        <v/>
      </c>
      <c r="D72" s="22" t="str">
        <f>'Display Unit'!D22</f>
        <v/>
      </c>
      <c r="E72" s="22" t="str">
        <f>'Display Unit'!E22</f>
        <v/>
      </c>
      <c r="F72" s="22" t="str">
        <f>'Display Unit'!F22</f>
        <v/>
      </c>
      <c r="G72" s="22" t="str">
        <f>'Display Unit'!G22</f>
        <v/>
      </c>
      <c r="H72" s="22" t="str">
        <f>'Display Unit'!H22</f>
        <v/>
      </c>
      <c r="I72" s="22" t="str">
        <f>'Display Unit'!I22</f>
        <v/>
      </c>
      <c r="J72" s="22" t="str">
        <f>'Display Unit'!J22</f>
        <v/>
      </c>
      <c r="K72" s="22" t="str">
        <f>'Display Unit'!K22</f>
        <v/>
      </c>
      <c r="L72" s="22" t="str">
        <f>'Display Unit'!L22</f>
        <v/>
      </c>
      <c r="M72" s="22" t="str">
        <f>'Display Unit'!M22</f>
        <v/>
      </c>
      <c r="N72" s="22" t="str">
        <f>'Display Unit'!N22</f>
        <v/>
      </c>
      <c r="O72" s="22" t="str">
        <f>'Display Unit'!O22</f>
        <v/>
      </c>
    </row>
    <row r="74">
      <c r="A74" s="41" t="str">
        <f>'Sensor Unit'!A26</f>
        <v>Standby Power</v>
      </c>
      <c r="B74" s="18">
        <f>'Sensor Unit'!B26</f>
        <v>5.00002</v>
      </c>
      <c r="C74" s="41" t="str">
        <f>'Sensor Unit'!C26</f>
        <v>mW</v>
      </c>
      <c r="D74" s="18">
        <f t="shared" ref="D74:L74" si="18">$B74</f>
        <v>5.00002</v>
      </c>
      <c r="E74" s="18">
        <f t="shared" si="18"/>
        <v>5.00002</v>
      </c>
      <c r="F74" s="18">
        <f t="shared" si="18"/>
        <v>5.00002</v>
      </c>
      <c r="G74" s="18">
        <f t="shared" si="18"/>
        <v>5.00002</v>
      </c>
      <c r="H74" s="18">
        <f t="shared" si="18"/>
        <v>5.00002</v>
      </c>
      <c r="I74" s="18">
        <f t="shared" si="18"/>
        <v>5.00002</v>
      </c>
      <c r="J74" s="18">
        <f t="shared" si="18"/>
        <v>5.00002</v>
      </c>
      <c r="K74" s="18">
        <f t="shared" si="18"/>
        <v>5.00002</v>
      </c>
      <c r="L74" s="18">
        <f t="shared" si="18"/>
        <v>5.00002</v>
      </c>
      <c r="M74" s="41">
        <f>$B74*0.9</f>
        <v>4.500018</v>
      </c>
      <c r="N74" s="18">
        <f t="shared" ref="N74:O74" si="19">$B74</f>
        <v>5.00002</v>
      </c>
      <c r="O74" s="18">
        <f t="shared" si="19"/>
        <v>5.00002</v>
      </c>
      <c r="T74" s="61">
        <f>'Display Unit'!E26</f>
        <v>0</v>
      </c>
      <c r="U74" s="31">
        <f>'Display Unit'!F26</f>
        <v>0.0028</v>
      </c>
      <c r="V74" s="61">
        <f>'Display Unit'!G26</f>
        <v>1</v>
      </c>
      <c r="W74" s="41" t="str">
        <f>'Sensor Unit'!H26</f>
        <v/>
      </c>
    </row>
    <row r="75">
      <c r="A75" s="41" t="str">
        <f>'Sensor Unit'!A27</f>
        <v>TX Power</v>
      </c>
      <c r="B75" s="18">
        <f>'Sensor Unit'!B27</f>
        <v>20.000003</v>
      </c>
      <c r="C75" s="41" t="str">
        <f>'Sensor Unit'!C27</f>
        <v>mW</v>
      </c>
      <c r="D75" s="18">
        <f t="shared" ref="D75:M75" si="20">$B75</f>
        <v>20.000003</v>
      </c>
      <c r="E75" s="18">
        <f t="shared" si="20"/>
        <v>20.000003</v>
      </c>
      <c r="F75" s="18">
        <f t="shared" si="20"/>
        <v>20.000003</v>
      </c>
      <c r="G75" s="18">
        <f t="shared" si="20"/>
        <v>20.000003</v>
      </c>
      <c r="H75" s="18">
        <f t="shared" si="20"/>
        <v>20.000003</v>
      </c>
      <c r="I75" s="18">
        <f t="shared" si="20"/>
        <v>20.000003</v>
      </c>
      <c r="J75" s="18">
        <f t="shared" si="20"/>
        <v>20.000003</v>
      </c>
      <c r="K75" s="18">
        <f t="shared" si="20"/>
        <v>20.000003</v>
      </c>
      <c r="L75" s="18">
        <f t="shared" si="20"/>
        <v>20.000003</v>
      </c>
      <c r="M75" s="18">
        <f t="shared" si="20"/>
        <v>20.000003</v>
      </c>
      <c r="N75" s="41">
        <f>$B75*0.9</f>
        <v>18.0000027</v>
      </c>
      <c r="O75" s="18">
        <f>$B75</f>
        <v>20.000003</v>
      </c>
      <c r="T75" s="61">
        <f>'Display Unit'!E27</f>
        <v>0</v>
      </c>
      <c r="V75" s="61">
        <f>'Display Unit'!G27</f>
        <v>0</v>
      </c>
      <c r="W75" s="41" t="str">
        <f>'Sensor Unit'!H27</f>
        <v/>
      </c>
    </row>
    <row r="76">
      <c r="A76" s="41" t="str">
        <f>'Sensor Unit'!A28</f>
        <v>RX Power</v>
      </c>
      <c r="B76" s="18">
        <f>'Sensor Unit'!B28</f>
        <v>10.000001</v>
      </c>
      <c r="C76" s="41" t="str">
        <f>'Sensor Unit'!C28</f>
        <v>mW</v>
      </c>
      <c r="D76" s="18">
        <f t="shared" ref="D76:N76" si="21">$B76</f>
        <v>10.000001</v>
      </c>
      <c r="E76" s="18">
        <f t="shared" si="21"/>
        <v>10.000001</v>
      </c>
      <c r="F76" s="18">
        <f t="shared" si="21"/>
        <v>10.000001</v>
      </c>
      <c r="G76" s="18">
        <f t="shared" si="21"/>
        <v>10.000001</v>
      </c>
      <c r="H76" s="18">
        <f t="shared" si="21"/>
        <v>10.000001</v>
      </c>
      <c r="I76" s="18">
        <f t="shared" si="21"/>
        <v>10.000001</v>
      </c>
      <c r="J76" s="18">
        <f t="shared" si="21"/>
        <v>10.000001</v>
      </c>
      <c r="K76" s="18">
        <f t="shared" si="21"/>
        <v>10.000001</v>
      </c>
      <c r="L76" s="18">
        <f t="shared" si="21"/>
        <v>10.000001</v>
      </c>
      <c r="M76" s="18">
        <f t="shared" si="21"/>
        <v>10.000001</v>
      </c>
      <c r="N76" s="18">
        <f t="shared" si="21"/>
        <v>10.000001</v>
      </c>
      <c r="O76" s="41">
        <f>$B76*0.9</f>
        <v>9.0000009</v>
      </c>
      <c r="T76" s="61">
        <f>'Display Unit'!E28</f>
        <v>0</v>
      </c>
      <c r="U76" s="61">
        <f>'Display Unit'!F27</f>
        <v>0</v>
      </c>
      <c r="V76" s="61">
        <f>'Display Unit'!G28</f>
        <v>0</v>
      </c>
      <c r="W76" s="41" t="str">
        <f>'Sensor Unit'!H28</f>
        <v/>
      </c>
    </row>
    <row r="77">
      <c r="A77" s="41" t="str">
        <f>'Sensor Unit'!A29</f>
        <v/>
      </c>
      <c r="B77" s="41" t="str">
        <f>'Sensor Unit'!B29</f>
        <v/>
      </c>
      <c r="C77" s="41" t="str">
        <f>'Sensor Unit'!C29</f>
        <v/>
      </c>
      <c r="D77" s="41" t="str">
        <f>'Sensor Unit'!D29</f>
        <v/>
      </c>
      <c r="T77" s="41" t="str">
        <f>'Display Unit'!E29</f>
        <v/>
      </c>
      <c r="U77" s="41" t="str">
        <f>'Sensor Unit'!F29</f>
        <v/>
      </c>
      <c r="V77" s="41" t="str">
        <f>'Sensor Unit'!G29</f>
        <v/>
      </c>
      <c r="W77" s="41" t="str">
        <f>'Sensor Unit'!H29</f>
        <v/>
      </c>
    </row>
    <row r="78">
      <c r="A78" s="41" t="str">
        <f>'Sensor Unit'!A30</f>
        <v/>
      </c>
      <c r="B78" s="41" t="str">
        <f>'Sensor Unit'!B30</f>
        <v/>
      </c>
      <c r="C78" s="41" t="str">
        <f>'Sensor Unit'!C30</f>
        <v/>
      </c>
      <c r="D78" s="41" t="str">
        <f>'Sensor Unit'!D30</f>
        <v/>
      </c>
      <c r="T78" s="41">
        <f>'Display Unit'!E30</f>
        <v>23</v>
      </c>
      <c r="U78" s="41">
        <f>'Display Unit'!F30</f>
        <v>0.1</v>
      </c>
      <c r="V78" s="72">
        <f>'Display Unit'!G30</f>
        <v>0.0097</v>
      </c>
      <c r="W78" s="41" t="str">
        <f>'Sensor Unit'!H30</f>
        <v>hours/day typical usage</v>
      </c>
    </row>
    <row r="79">
      <c r="A79" s="41" t="str">
        <f>'Sensor Unit'!A31</f>
        <v>Battery</v>
      </c>
      <c r="B79" s="41" t="str">
        <f>'Sensor Unit'!B31</f>
        <v/>
      </c>
      <c r="C79" s="41" t="str">
        <f>'Sensor Unit'!C31</f>
        <v/>
      </c>
      <c r="D79" s="41" t="str">
        <f>'Sensor Unit'!D31</f>
        <v/>
      </c>
      <c r="T79" s="41" t="str">
        <f>'Sensor Unit'!E31</f>
        <v/>
      </c>
      <c r="U79" s="41" t="str">
        <f>'Sensor Unit'!F31</f>
        <v/>
      </c>
      <c r="V79" s="41" t="str">
        <f>'Sensor Unit'!G31</f>
        <v/>
      </c>
      <c r="W79" s="41" t="str">
        <f>'Sensor Unit'!H31</f>
        <v/>
      </c>
    </row>
    <row r="80">
      <c r="A80" s="41" t="str">
        <f>'Sensor Unit'!A32</f>
        <v>Capacity</v>
      </c>
      <c r="B80" s="18">
        <f>'Sensor Unit'!B32</f>
        <v>2500</v>
      </c>
      <c r="C80" s="41" t="str">
        <f>'Sensor Unit'!C32</f>
        <v>mAh</v>
      </c>
      <c r="D80" s="41" t="str">
        <f>'Sensor Unit'!D32</f>
        <v/>
      </c>
      <c r="T80" s="41" t="str">
        <f>'Sensor Unit'!E32</f>
        <v/>
      </c>
      <c r="U80" s="41" t="str">
        <f>'Sensor Unit'!F32</f>
        <v/>
      </c>
      <c r="V80" s="41" t="str">
        <f>'Sensor Unit'!G32</f>
        <v/>
      </c>
      <c r="W80" s="41" t="str">
        <f>'Sensor Unit'!H32</f>
        <v/>
      </c>
    </row>
    <row r="81">
      <c r="A81" s="41" t="str">
        <f>'Sensor Unit'!A33</f>
        <v>Nominal Voltage</v>
      </c>
      <c r="B81" s="65">
        <f>'Sensor Unit'!B33</f>
        <v>3.7</v>
      </c>
      <c r="C81" s="41" t="str">
        <f>'Sensor Unit'!C33</f>
        <v>V</v>
      </c>
      <c r="D81" s="41" t="str">
        <f>'Sensor Unit'!D33</f>
        <v/>
      </c>
      <c r="T81" s="41" t="str">
        <f>'Sensor Unit'!E33</f>
        <v/>
      </c>
      <c r="U81" s="41" t="str">
        <f>'Sensor Unit'!F33</f>
        <v/>
      </c>
      <c r="V81" s="41" t="str">
        <f>'Sensor Unit'!G33</f>
        <v/>
      </c>
      <c r="W81" s="41" t="str">
        <f>'Sensor Unit'!H33</f>
        <v/>
      </c>
    </row>
    <row r="82">
      <c r="A82" s="41" t="str">
        <f>'Sensor Unit'!A34</f>
        <v>Regulator Efficiency</v>
      </c>
      <c r="B82" s="61">
        <f>'Sensor Unit'!B34</f>
        <v>0.9</v>
      </c>
      <c r="C82" s="41" t="str">
        <f>'Sensor Unit'!C34</f>
        <v/>
      </c>
      <c r="D82" s="41" t="str">
        <f>'Sensor Unit'!D34</f>
        <v/>
      </c>
      <c r="T82" s="41" t="str">
        <f>'Sensor Unit'!E34</f>
        <v/>
      </c>
      <c r="U82" s="41" t="str">
        <f>'Sensor Unit'!F34</f>
        <v/>
      </c>
      <c r="V82" s="41" t="str">
        <f>'Sensor Unit'!G34</f>
        <v/>
      </c>
      <c r="W82" s="41" t="str">
        <f>'Sensor Unit'!H34</f>
        <v/>
      </c>
    </row>
    <row r="83">
      <c r="A83" s="41" t="str">
        <f>'Sensor Unit'!A35</f>
        <v/>
      </c>
      <c r="B83" s="41" t="str">
        <f>'Sensor Unit'!B35</f>
        <v/>
      </c>
      <c r="C83" s="41" t="str">
        <f>'Sensor Unit'!C35</f>
        <v/>
      </c>
      <c r="D83" s="41" t="str">
        <f>'Sensor Unit'!D35</f>
        <v/>
      </c>
      <c r="O83" s="41" t="str">
        <f>'Sensor Unit'!E35</f>
        <v/>
      </c>
      <c r="P83" s="41" t="str">
        <f>'Sensor Unit'!F35</f>
        <v/>
      </c>
      <c r="Q83" s="41" t="str">
        <f>'Sensor Unit'!G35</f>
        <v/>
      </c>
      <c r="R83" s="41" t="str">
        <f>'Sensor Unit'!H35</f>
        <v/>
      </c>
      <c r="S83" s="41" t="str">
        <f>'Sensor Unit'!I35</f>
        <v/>
      </c>
    </row>
    <row r="84">
      <c r="A84" s="41" t="str">
        <f>'Sensor Unit'!A36</f>
        <v/>
      </c>
      <c r="R84" s="41" t="str">
        <f>'Sensor Unit'!H36</f>
        <v/>
      </c>
      <c r="S84" s="41" t="str">
        <f>'Sensor Unit'!I36</f>
        <v/>
      </c>
    </row>
    <row r="85">
      <c r="A85" s="41" t="str">
        <f>'Sensor Unit'!A37</f>
        <v>How did you determine your "days of use" metric ?</v>
      </c>
      <c r="R85" s="41" t="str">
        <f>'Sensor Unit'!Q24</f>
        <v/>
      </c>
      <c r="S85" s="41" t="str">
        <f>'Sensor Unit'!I37</f>
        <v/>
      </c>
    </row>
    <row r="86">
      <c r="A86" s="41" t="str">
        <f>'Sensor Unit'!A38</f>
        <v>I used a 6-step power budget calculation:</v>
      </c>
      <c r="R86" s="41" t="str">
        <f>'Sensor Unit'!Q25</f>
        <v/>
      </c>
      <c r="S86" s="41" t="str">
        <f>'Sensor Unit'!I38</f>
        <v/>
      </c>
    </row>
    <row r="87">
      <c r="A87" s="41" t="str">
        <f>'Sensor Unit'!L25</f>
        <v>Total power in profile (mw)</v>
      </c>
      <c r="B87" s="41" t="str">
        <f>'Sensor Unit'!M25</f>
        <v/>
      </c>
      <c r="C87" s="41" t="str">
        <f>'Sensor Unit'!N25</f>
        <v/>
      </c>
      <c r="R87" s="41" t="str">
        <f>'Sensor Unit'!Q26</f>
        <v/>
      </c>
      <c r="S87" s="41" t="str">
        <f>'Sensor Unit'!I39</f>
        <v/>
      </c>
    </row>
    <row r="88">
      <c r="A88" s="41" t="str">
        <f>'Sensor Unit'!L26</f>
        <v>"off"</v>
      </c>
      <c r="B88" s="41">
        <f>sumproduct(B56:B76, $T56:$T76)</f>
        <v>7.00095</v>
      </c>
      <c r="C88" s="41" t="str">
        <f>'Sensor Unit'!N26</f>
        <v>mW</v>
      </c>
      <c r="D88" s="41">
        <f t="shared" ref="D88:O88" si="22">sumproduct(D56:D76, $T56:$T76)</f>
        <v>7.00095</v>
      </c>
      <c r="E88" s="41">
        <f t="shared" si="22"/>
        <v>7.00095</v>
      </c>
      <c r="F88" s="41">
        <f t="shared" si="22"/>
        <v>6.900915</v>
      </c>
      <c r="G88" s="41">
        <f t="shared" si="22"/>
        <v>7.00095</v>
      </c>
      <c r="H88" s="41">
        <f t="shared" si="22"/>
        <v>7.00095</v>
      </c>
      <c r="I88" s="41">
        <f t="shared" si="22"/>
        <v>6.90089</v>
      </c>
      <c r="J88" s="41">
        <f t="shared" si="22"/>
        <v>7.00095</v>
      </c>
      <c r="K88" s="41">
        <f t="shared" si="22"/>
        <v>6.50095</v>
      </c>
      <c r="L88" s="41">
        <f t="shared" si="22"/>
        <v>7.00095</v>
      </c>
      <c r="M88" s="41">
        <f t="shared" si="22"/>
        <v>7.00095</v>
      </c>
      <c r="N88" s="41">
        <f t="shared" si="22"/>
        <v>7.00095</v>
      </c>
      <c r="O88" s="41">
        <f t="shared" si="22"/>
        <v>7.00095</v>
      </c>
      <c r="R88" s="41" t="str">
        <f>'Sensor Unit'!Q27</f>
        <v/>
      </c>
      <c r="S88" s="41" t="str">
        <f>'Sensor Unit'!I40</f>
        <v/>
      </c>
    </row>
    <row r="89">
      <c r="A89" s="41" t="str">
        <f>'Sensor Unit'!L27</f>
        <v>"sensing"</v>
      </c>
      <c r="B89" s="41">
        <f>sumproduct(B56:B76,$U56:$U76)</f>
        <v>7.194149916</v>
      </c>
      <c r="C89" s="41" t="str">
        <f>'Sensor Unit'!N27</f>
        <v>mW</v>
      </c>
      <c r="D89" s="41">
        <f t="shared" ref="D89:O89" si="23">sumproduct(D56:D76,$U56:$U76)</f>
        <v>7.175949832</v>
      </c>
      <c r="E89" s="41">
        <f t="shared" si="23"/>
        <v>7.194149916</v>
      </c>
      <c r="F89" s="41">
        <f t="shared" si="23"/>
        <v>7.094395014</v>
      </c>
      <c r="G89" s="41">
        <f t="shared" si="23"/>
        <v>7.194149916</v>
      </c>
      <c r="H89" s="41">
        <f t="shared" si="23"/>
        <v>7.194149916</v>
      </c>
      <c r="I89" s="41">
        <f t="shared" si="23"/>
        <v>7.094089916</v>
      </c>
      <c r="J89" s="41">
        <f t="shared" si="23"/>
        <v>7.194149916</v>
      </c>
      <c r="K89" s="41">
        <f t="shared" si="23"/>
        <v>6.694149916</v>
      </c>
      <c r="L89" s="41">
        <f t="shared" si="23"/>
        <v>7.194149916</v>
      </c>
      <c r="M89" s="41">
        <f t="shared" si="23"/>
        <v>7.19274991</v>
      </c>
      <c r="N89" s="41">
        <f t="shared" si="23"/>
        <v>7.194149916</v>
      </c>
      <c r="O89" s="41">
        <f t="shared" si="23"/>
        <v>7.194149916</v>
      </c>
      <c r="R89" s="41" t="str">
        <f>'Sensor Unit'!Q28</f>
        <v/>
      </c>
      <c r="S89" s="41" t="str">
        <f>'Sensor Unit'!I41</f>
        <v/>
      </c>
    </row>
    <row r="90">
      <c r="A90" s="41" t="str">
        <f>'Sensor Unit'!L28</f>
        <v>"interactive"</v>
      </c>
      <c r="B90" s="41">
        <f>sumproduct(B56:B76, $V56:$V76)</f>
        <v>137.18544</v>
      </c>
      <c r="C90" s="41" t="str">
        <f>'Sensor Unit'!N28</f>
        <v>mW</v>
      </c>
      <c r="D90" s="41">
        <f t="shared" ref="D90:O90" si="24">sumproduct(D56:D76, $V56:$V76)</f>
        <v>130.68541</v>
      </c>
      <c r="E90" s="41">
        <f t="shared" si="24"/>
        <v>137.18544</v>
      </c>
      <c r="F90" s="41">
        <f t="shared" si="24"/>
        <v>137.18544</v>
      </c>
      <c r="G90" s="41">
        <f t="shared" si="24"/>
        <v>137.18544</v>
      </c>
      <c r="H90" s="41">
        <f t="shared" si="24"/>
        <v>135.185428</v>
      </c>
      <c r="I90" s="41">
        <f t="shared" si="24"/>
        <v>137.18544</v>
      </c>
      <c r="J90" s="41">
        <f t="shared" si="24"/>
        <v>132.89544</v>
      </c>
      <c r="K90" s="41">
        <f t="shared" si="24"/>
        <v>136.75694</v>
      </c>
      <c r="L90" s="41">
        <f t="shared" si="24"/>
        <v>137.18544</v>
      </c>
      <c r="M90" s="41">
        <f t="shared" si="24"/>
        <v>136.685438</v>
      </c>
      <c r="N90" s="41">
        <f t="shared" si="24"/>
        <v>137.18544</v>
      </c>
      <c r="O90" s="41">
        <f t="shared" si="24"/>
        <v>137.18544</v>
      </c>
      <c r="R90" s="41" t="str">
        <f>'Sensor Unit'!Q29</f>
        <v/>
      </c>
      <c r="S90" s="41" t="str">
        <f>'Sensor Unit'!I42</f>
        <v/>
      </c>
    </row>
    <row r="91">
      <c r="A91" s="41" t="str">
        <f>'Sensor Unit'!L29</f>
        <v/>
      </c>
      <c r="B91" s="41" t="str">
        <f>'Sensor Unit'!M29</f>
        <v/>
      </c>
      <c r="C91" s="41" t="str">
        <f>'Sensor Unit'!N29</f>
        <v/>
      </c>
      <c r="D91" s="41" t="str">
        <f>'Sensor Unit'!O29</f>
        <v/>
      </c>
      <c r="E91" s="41" t="str">
        <f>'Sensor Unit'!P29</f>
        <v/>
      </c>
      <c r="F91" s="41" t="str">
        <f>'Sensor Unit'!Q30</f>
        <v/>
      </c>
      <c r="G91" s="41" t="str">
        <f>'Sensor Unit'!I43</f>
        <v/>
      </c>
      <c r="H91" s="41" t="str">
        <f>'Sensor Unit'!J43</f>
        <v/>
      </c>
      <c r="I91" s="41" t="str">
        <f>'Sensor Unit'!K43</f>
        <v/>
      </c>
      <c r="J91" s="41" t="str">
        <f>'Sensor Unit'!L43</f>
        <v/>
      </c>
      <c r="K91" s="41" t="str">
        <f>'Sensor Unit'!M43</f>
        <v/>
      </c>
      <c r="L91" s="41" t="str">
        <f>'Sensor Unit'!N43</f>
        <v/>
      </c>
      <c r="M91" s="41" t="str">
        <f>'Sensor Unit'!O43</f>
        <v/>
      </c>
      <c r="N91" s="41" t="str">
        <f>'Sensor Unit'!P43</f>
        <v/>
      </c>
      <c r="O91" s="41" t="str">
        <f>'Sensor Unit'!Q43</f>
        <v/>
      </c>
      <c r="R91" s="41" t="str">
        <f>'Sensor Unit'!Q30</f>
        <v/>
      </c>
      <c r="S91" s="41" t="str">
        <f>'Sensor Unit'!I43</f>
        <v/>
      </c>
    </row>
    <row r="92">
      <c r="A92" s="41" t="str">
        <f>'Sensor Unit'!L30</f>
        <v>Effective Battery Capacity</v>
      </c>
      <c r="B92" s="41" t="str">
        <f>'Sensor Unit'!M30</f>
        <v/>
      </c>
      <c r="C92" s="41" t="str">
        <f>'Sensor Unit'!N30</f>
        <v/>
      </c>
      <c r="D92" s="41" t="str">
        <f>'Sensor Unit'!O30</f>
        <v/>
      </c>
      <c r="E92" s="41" t="str">
        <f>'Sensor Unit'!P30</f>
        <v/>
      </c>
      <c r="F92" s="41" t="str">
        <f>'Sensor Unit'!Q31</f>
        <v/>
      </c>
      <c r="G92" s="41" t="str">
        <f>'Sensor Unit'!I44</f>
        <v/>
      </c>
      <c r="H92" s="41" t="str">
        <f>'Sensor Unit'!J44</f>
        <v/>
      </c>
      <c r="I92" s="41" t="str">
        <f>'Sensor Unit'!K44</f>
        <v/>
      </c>
      <c r="J92" s="41" t="str">
        <f>'Sensor Unit'!L44</f>
        <v/>
      </c>
      <c r="K92" s="41" t="str">
        <f>'Sensor Unit'!M44</f>
        <v/>
      </c>
      <c r="L92" s="41" t="str">
        <f>'Sensor Unit'!N44</f>
        <v/>
      </c>
      <c r="M92" s="41" t="str">
        <f>'Sensor Unit'!O44</f>
        <v/>
      </c>
      <c r="N92" s="41" t="str">
        <f>'Sensor Unit'!P44</f>
        <v/>
      </c>
      <c r="O92" s="41" t="str">
        <f>'Sensor Unit'!Q44</f>
        <v/>
      </c>
      <c r="P92" s="41" t="str">
        <f>'Sensor Unit'!O30</f>
        <v/>
      </c>
      <c r="Q92" s="41" t="str">
        <f>'Sensor Unit'!P30</f>
        <v/>
      </c>
      <c r="R92" s="41" t="str">
        <f>'Sensor Unit'!Q31</f>
        <v/>
      </c>
      <c r="S92" s="41" t="str">
        <f>'Sensor Unit'!I44</f>
        <v/>
      </c>
      <c r="T92" s="41" t="str">
        <f>'Sensor Unit'!J44</f>
        <v/>
      </c>
      <c r="U92" s="41" t="str">
        <f>'Sensor Unit'!K44</f>
        <v/>
      </c>
      <c r="V92" s="41" t="str">
        <f>'Sensor Unit'!L44</f>
        <v/>
      </c>
    </row>
    <row r="93">
      <c r="A93" s="41" t="str">
        <f>'Sensor Unit'!L31</f>
        <v/>
      </c>
      <c r="B93" s="41">
        <f>B80*B81*B82</f>
        <v>8325</v>
      </c>
      <c r="C93" s="41" t="str">
        <f>'Sensor Unit'!N31</f>
        <v>mW*h</v>
      </c>
      <c r="D93" s="41">
        <f t="shared" ref="D93:O93" si="25">$B93</f>
        <v>8325</v>
      </c>
      <c r="E93" s="41">
        <f t="shared" si="25"/>
        <v>8325</v>
      </c>
      <c r="F93" s="41">
        <f t="shared" si="25"/>
        <v>8325</v>
      </c>
      <c r="G93" s="41">
        <f t="shared" si="25"/>
        <v>8325</v>
      </c>
      <c r="H93" s="41">
        <f t="shared" si="25"/>
        <v>8325</v>
      </c>
      <c r="I93" s="41">
        <f t="shared" si="25"/>
        <v>8325</v>
      </c>
      <c r="J93" s="41">
        <f t="shared" si="25"/>
        <v>8325</v>
      </c>
      <c r="K93" s="41">
        <f t="shared" si="25"/>
        <v>8325</v>
      </c>
      <c r="L93" s="41">
        <f t="shared" si="25"/>
        <v>8325</v>
      </c>
      <c r="M93" s="41">
        <f t="shared" si="25"/>
        <v>8325</v>
      </c>
      <c r="N93" s="41">
        <f t="shared" si="25"/>
        <v>8325</v>
      </c>
      <c r="O93" s="41">
        <f t="shared" si="25"/>
        <v>8325</v>
      </c>
      <c r="P93" s="41" t="str">
        <f>'Sensor Unit'!O31</f>
        <v/>
      </c>
      <c r="Q93" s="41" t="str">
        <f>'Sensor Unit'!P31</f>
        <v/>
      </c>
      <c r="R93" s="41" t="str">
        <f>'Sensor Unit'!Q32</f>
        <v/>
      </c>
      <c r="S93" s="41" t="str">
        <f>'Sensor Unit'!I45</f>
        <v/>
      </c>
      <c r="T93" s="41" t="str">
        <f>'Sensor Unit'!J45</f>
        <v/>
      </c>
      <c r="U93" s="41" t="str">
        <f>'Sensor Unit'!K45</f>
        <v/>
      </c>
      <c r="V93" s="41" t="str">
        <f>'Sensor Unit'!L45</f>
        <v/>
      </c>
    </row>
    <row r="94">
      <c r="A94" s="41" t="str">
        <f>'Sensor Unit'!L32</f>
        <v/>
      </c>
      <c r="B94" s="41" t="str">
        <f>'Sensor Unit'!M32</f>
        <v/>
      </c>
      <c r="C94" s="41" t="str">
        <f>'Sensor Unit'!N32</f>
        <v/>
      </c>
      <c r="D94" s="41" t="str">
        <f>'Sensor Unit'!O32</f>
        <v/>
      </c>
      <c r="E94" s="41" t="str">
        <f>'Sensor Unit'!P32</f>
        <v/>
      </c>
      <c r="F94" s="41" t="str">
        <f>'Sensor Unit'!Q33</f>
        <v/>
      </c>
      <c r="G94" s="41" t="str">
        <f>'Sensor Unit'!I46</f>
        <v/>
      </c>
      <c r="H94" s="41" t="str">
        <f>'Sensor Unit'!J46</f>
        <v/>
      </c>
      <c r="I94" s="41" t="str">
        <f>'Sensor Unit'!K46</f>
        <v/>
      </c>
      <c r="J94" s="41" t="str">
        <f>'Sensor Unit'!L46</f>
        <v/>
      </c>
      <c r="K94" s="41" t="str">
        <f>'Sensor Unit'!M46</f>
        <v/>
      </c>
      <c r="L94" s="41" t="str">
        <f>'Sensor Unit'!N46</f>
        <v/>
      </c>
      <c r="M94" s="41" t="str">
        <f>'Sensor Unit'!O46</f>
        <v/>
      </c>
      <c r="N94" s="41" t="str">
        <f>'Sensor Unit'!P46</f>
        <v/>
      </c>
      <c r="O94" s="41" t="str">
        <f>'Sensor Unit'!Q46</f>
        <v/>
      </c>
      <c r="P94" s="41" t="str">
        <f>'Sensor Unit'!O32</f>
        <v/>
      </c>
      <c r="Q94" s="41" t="str">
        <f>'Sensor Unit'!P32</f>
        <v/>
      </c>
      <c r="R94" s="41" t="str">
        <f>'Sensor Unit'!Q33</f>
        <v/>
      </c>
      <c r="S94" s="41" t="str">
        <f>'Sensor Unit'!I46</f>
        <v/>
      </c>
      <c r="T94" s="41" t="str">
        <f>'Sensor Unit'!J46</f>
        <v/>
      </c>
      <c r="U94" s="41" t="str">
        <f>'Sensor Unit'!K46</f>
        <v/>
      </c>
      <c r="V94" s="41" t="str">
        <f>'Sensor Unit'!L46</f>
        <v/>
      </c>
    </row>
    <row r="95">
      <c r="A95" s="41" t="str">
        <f>'Sensor Unit'!L33</f>
        <v>Days of Use</v>
      </c>
      <c r="B95" s="41">
        <f>B93/($T78*B88+$U78*B89+$V78*B90)</f>
        <v>51.05108081</v>
      </c>
      <c r="C95" s="41" t="str">
        <f>'Sensor Unit'!N33</f>
        <v>days</v>
      </c>
      <c r="D95" s="41">
        <f t="shared" ref="D95:O95" si="26">D93/($T78*D88+$U78*D89+$V78*D90)</f>
        <v>51.0713971</v>
      </c>
      <c r="E95" s="41">
        <f t="shared" si="26"/>
        <v>51.05108081</v>
      </c>
      <c r="F95" s="41">
        <f t="shared" si="26"/>
        <v>51.78488881</v>
      </c>
      <c r="G95" s="41">
        <f t="shared" si="26"/>
        <v>51.05108081</v>
      </c>
      <c r="H95" s="41">
        <f t="shared" si="26"/>
        <v>51.05715491</v>
      </c>
      <c r="I95" s="41">
        <f t="shared" si="26"/>
        <v>51.78508386</v>
      </c>
      <c r="J95" s="41">
        <f t="shared" si="26"/>
        <v>51.06411144</v>
      </c>
      <c r="K95" s="41">
        <f t="shared" si="26"/>
        <v>54.94403693</v>
      </c>
      <c r="L95" s="41">
        <f t="shared" si="26"/>
        <v>51.05108081</v>
      </c>
      <c r="M95" s="41">
        <f t="shared" si="26"/>
        <v>51.05264303</v>
      </c>
      <c r="N95" s="41">
        <f t="shared" si="26"/>
        <v>51.05108081</v>
      </c>
      <c r="O95" s="41">
        <f t="shared" si="26"/>
        <v>51.05108081</v>
      </c>
      <c r="P95" s="41" t="str">
        <f>'Sensor Unit'!O33</f>
        <v/>
      </c>
      <c r="Q95" s="41" t="str">
        <f>'Sensor Unit'!P33</f>
        <v/>
      </c>
      <c r="R95" s="41" t="str">
        <f>'Sensor Unit'!Q34</f>
        <v/>
      </c>
      <c r="S95" s="41" t="str">
        <f>'Sensor Unit'!I47</f>
        <v/>
      </c>
      <c r="T95" s="41" t="str">
        <f>'Sensor Unit'!J47</f>
        <v/>
      </c>
      <c r="U95" s="41" t="str">
        <f>'Sensor Unit'!K47</f>
        <v/>
      </c>
      <c r="V95" s="41" t="str">
        <f>'Sensor Unit'!L47</f>
        <v/>
      </c>
    </row>
    <row r="96">
      <c r="A96" s="41" t="str">
        <f>'Sensor Unit'!L34</f>
        <v>Hours of Use</v>
      </c>
      <c r="B96" s="41">
        <f>B95*24</f>
        <v>1225.225939</v>
      </c>
      <c r="C96" s="41" t="str">
        <f>'Sensor Unit'!N34</f>
        <v>hours</v>
      </c>
      <c r="D96" s="41">
        <f t="shared" ref="D96:O96" si="27">D95*24</f>
        <v>1225.71353</v>
      </c>
      <c r="E96" s="41">
        <f t="shared" si="27"/>
        <v>1225.225939</v>
      </c>
      <c r="F96" s="41">
        <f t="shared" si="27"/>
        <v>1242.837331</v>
      </c>
      <c r="G96" s="41">
        <f t="shared" si="27"/>
        <v>1225.225939</v>
      </c>
      <c r="H96" s="41">
        <f t="shared" si="27"/>
        <v>1225.371718</v>
      </c>
      <c r="I96" s="41">
        <f t="shared" si="27"/>
        <v>1242.842013</v>
      </c>
      <c r="J96" s="41">
        <f t="shared" si="27"/>
        <v>1225.538675</v>
      </c>
      <c r="K96" s="41">
        <f t="shared" si="27"/>
        <v>1318.656886</v>
      </c>
      <c r="L96" s="41">
        <f t="shared" si="27"/>
        <v>1225.225939</v>
      </c>
      <c r="M96" s="41">
        <f t="shared" si="27"/>
        <v>1225.263433</v>
      </c>
      <c r="N96" s="41">
        <f t="shared" si="27"/>
        <v>1225.225939</v>
      </c>
      <c r="O96" s="41">
        <f t="shared" si="27"/>
        <v>1225.225939</v>
      </c>
      <c r="P96" s="41" t="str">
        <f>'Sensor Unit'!O34</f>
        <v/>
      </c>
      <c r="Q96" s="41" t="str">
        <f>'Sensor Unit'!P34</f>
        <v/>
      </c>
      <c r="R96" s="41" t="str">
        <f>'Sensor Unit'!Q35</f>
        <v/>
      </c>
      <c r="S96" s="41" t="str">
        <f>'Sensor Unit'!I48</f>
        <v/>
      </c>
      <c r="T96" s="41" t="str">
        <f>'Sensor Unit'!J48</f>
        <v/>
      </c>
      <c r="U96" s="41" t="str">
        <f>'Sensor Unit'!K48</f>
        <v/>
      </c>
      <c r="V96" s="41" t="str">
        <f>'Sensor Unit'!L48</f>
        <v/>
      </c>
    </row>
    <row r="97">
      <c r="A97" s="41" t="str">
        <f>'Sensor Unit'!A49</f>
        <v>2500-3000 mAh 18650 is optimal. </v>
      </c>
      <c r="B97" s="41" t="str">
        <f>'Sensor Unit'!K36</f>
        <v/>
      </c>
      <c r="C97" s="41" t="str">
        <f>'Sensor Unit'!L36</f>
        <v/>
      </c>
      <c r="D97" s="41" t="str">
        <f>'Sensor Unit'!M36</f>
        <v/>
      </c>
      <c r="O97" s="41" t="str">
        <f>'Sensor Unit'!N36</f>
        <v/>
      </c>
      <c r="P97" s="41" t="str">
        <f>'Sensor Unit'!O36</f>
        <v/>
      </c>
      <c r="Q97" s="41" t="str">
        <f>'Sensor Unit'!P36</f>
        <v/>
      </c>
      <c r="R97" s="41" t="str">
        <f>'Sensor Unit'!Q36</f>
        <v/>
      </c>
      <c r="S97" s="41" t="str">
        <f>'Sensor Unit'!I49</f>
        <v/>
      </c>
      <c r="T97" s="41" t="str">
        <f>'Sensor Unit'!J49</f>
        <v/>
      </c>
      <c r="U97" s="41" t="str">
        <f>'Sensor Unit'!K49</f>
        <v/>
      </c>
      <c r="V97" s="41" t="str">
        <f>'Sensor Unit'!L49</f>
        <v/>
      </c>
    </row>
    <row r="98">
      <c r="A98" s="9" t="s">
        <v>97</v>
      </c>
      <c r="B98" s="41" t="str">
        <f>'Sensor Unit'!K37</f>
        <v/>
      </c>
      <c r="C98" s="41" t="str">
        <f>'Sensor Unit'!L37</f>
        <v/>
      </c>
      <c r="D98" s="31">
        <f t="shared" ref="D98:O98" si="28">D96/$B96-1</f>
        <v>0.0003979599784</v>
      </c>
      <c r="E98" s="31">
        <f t="shared" si="28"/>
        <v>0</v>
      </c>
      <c r="F98" s="31">
        <f t="shared" si="28"/>
        <v>0.01437399528</v>
      </c>
      <c r="G98" s="31">
        <f t="shared" si="28"/>
        <v>0</v>
      </c>
      <c r="H98" s="31">
        <f t="shared" si="28"/>
        <v>0.0001189807505</v>
      </c>
      <c r="I98" s="31">
        <f t="shared" si="28"/>
        <v>0.01437781596</v>
      </c>
      <c r="J98" s="31">
        <f t="shared" si="28"/>
        <v>0.0002552469513</v>
      </c>
      <c r="K98" s="31">
        <f t="shared" si="28"/>
        <v>0.07625609593</v>
      </c>
      <c r="L98" s="31">
        <f t="shared" si="28"/>
        <v>0</v>
      </c>
      <c r="M98" s="31">
        <f t="shared" si="28"/>
        <v>0.00003060104597</v>
      </c>
      <c r="N98" s="31">
        <f t="shared" si="28"/>
        <v>0</v>
      </c>
      <c r="O98" s="31">
        <f t="shared" si="28"/>
        <v>0</v>
      </c>
      <c r="P98" s="41" t="str">
        <f>'Sensor Unit'!O37</f>
        <v/>
      </c>
      <c r="Q98" s="41" t="str">
        <f>'Sensor Unit'!P37</f>
        <v/>
      </c>
      <c r="R98" s="41" t="str">
        <f>'Sensor Unit'!Q37</f>
        <v/>
      </c>
      <c r="S98" s="41" t="str">
        <f>'Sensor Unit'!I50</f>
        <v/>
      </c>
      <c r="T98" s="41" t="str">
        <f>'Sensor Unit'!J50</f>
        <v/>
      </c>
      <c r="U98" s="41" t="str">
        <f>'Sensor Unit'!K50</f>
        <v/>
      </c>
      <c r="V98" s="41" t="str">
        <f>'Sensor Unit'!L50</f>
        <v/>
      </c>
    </row>
    <row r="99">
      <c r="A99" s="9" t="s">
        <v>98</v>
      </c>
      <c r="B99" s="41" t="str">
        <f>'Sensor Unit'!K38</f>
        <v/>
      </c>
      <c r="C99" s="41" t="str">
        <f>'Sensor Unit'!L38</f>
        <v/>
      </c>
      <c r="D99" s="9" t="s">
        <v>99</v>
      </c>
      <c r="E99" s="9" t="s">
        <v>100</v>
      </c>
      <c r="F99" s="9" t="s">
        <v>101</v>
      </c>
      <c r="G99" s="9" t="s">
        <v>102</v>
      </c>
      <c r="H99" s="9" t="s">
        <v>103</v>
      </c>
      <c r="I99" s="9" t="s">
        <v>104</v>
      </c>
      <c r="J99" s="9" t="s">
        <v>105</v>
      </c>
      <c r="K99" s="9" t="s">
        <v>106</v>
      </c>
      <c r="L99" s="9" t="s">
        <v>107</v>
      </c>
      <c r="M99" s="9" t="s">
        <v>108</v>
      </c>
      <c r="N99" s="9" t="s">
        <v>109</v>
      </c>
      <c r="O99" s="9" t="s">
        <v>110</v>
      </c>
      <c r="P99" s="41" t="str">
        <f>'Sensor Unit'!O38</f>
        <v/>
      </c>
      <c r="Q99" s="41" t="str">
        <f>'Sensor Unit'!P38</f>
        <v/>
      </c>
      <c r="R99" s="41" t="str">
        <f>'Sensor Unit'!Q38</f>
        <v/>
      </c>
      <c r="S99" s="41" t="str">
        <f>'Sensor Unit'!I51</f>
        <v/>
      </c>
      <c r="T99" s="41" t="str">
        <f>'Sensor Unit'!J51</f>
        <v/>
      </c>
      <c r="U99" s="41" t="str">
        <f>'Sensor Unit'!K51</f>
        <v/>
      </c>
      <c r="V99" s="41" t="str">
        <f>'Sensor Unit'!L51</f>
        <v/>
      </c>
    </row>
    <row r="100">
      <c r="A100" s="41" t="str">
        <f>'Sensor Unit'!A47</f>
        <v/>
      </c>
      <c r="B100" s="41" t="str">
        <f>'Sensor Unit'!B52</f>
        <v/>
      </c>
      <c r="C100" s="41" t="str">
        <f>'Sensor Unit'!C52</f>
        <v/>
      </c>
      <c r="D100" s="41" t="str">
        <f>'Sensor Unit'!D52</f>
        <v/>
      </c>
      <c r="O100" s="41" t="str">
        <f>'Sensor Unit'!E52</f>
        <v/>
      </c>
      <c r="P100" s="41" t="str">
        <f>'Sensor Unit'!F52</f>
        <v/>
      </c>
      <c r="Q100" s="41" t="str">
        <f>'Sensor Unit'!G52</f>
        <v/>
      </c>
      <c r="R100" s="41" t="str">
        <f>'Sensor Unit'!H52</f>
        <v/>
      </c>
      <c r="S100" s="41" t="str">
        <f>'Sensor Unit'!I52</f>
        <v/>
      </c>
      <c r="T100" s="41" t="str">
        <f>'Sensor Unit'!J52</f>
        <v/>
      </c>
      <c r="U100" s="41" t="str">
        <f>'Sensor Unit'!K52</f>
        <v/>
      </c>
      <c r="V100" s="41" t="str">
        <f>'Sensor Unit'!L52</f>
        <v/>
      </c>
    </row>
    <row r="101">
      <c r="A101" s="41" t="str">
        <f>'Sensor Unit'!A52</f>
        <v>available. Panasonic NCR18650B (3400mAh) recommended for 240-day life.</v>
      </c>
      <c r="B101" s="41" t="str">
        <f>'Sensor Unit'!B53</f>
        <v/>
      </c>
      <c r="C101" s="41" t="str">
        <f>'Sensor Unit'!C53</f>
        <v/>
      </c>
      <c r="D101" s="41" t="str">
        <f>'Sensor Unit'!D53</f>
        <v/>
      </c>
      <c r="O101" s="41" t="str">
        <f>'Sensor Unit'!E53</f>
        <v/>
      </c>
      <c r="P101" s="41" t="str">
        <f>'Sensor Unit'!F53</f>
        <v/>
      </c>
      <c r="Q101" s="41" t="str">
        <f>'Sensor Unit'!G53</f>
        <v/>
      </c>
      <c r="R101" s="41" t="str">
        <f>'Sensor Unit'!H53</f>
        <v/>
      </c>
      <c r="S101" s="41" t="str">
        <f>'Sensor Unit'!I53</f>
        <v/>
      </c>
      <c r="T101" s="41" t="str">
        <f>'Sensor Unit'!J53</f>
        <v/>
      </c>
      <c r="U101" s="41" t="str">
        <f>'Sensor Unit'!K53</f>
        <v/>
      </c>
      <c r="V101" s="41" t="str">
        <f>'Sensor Unit'!L53</f>
        <v/>
      </c>
    </row>
    <row r="102">
      <c r="A102" s="41" t="str">
        <f>'Sensor Unit'!A48</f>
        <v>What do you think is the optimum size for the battery in your device ?</v>
      </c>
      <c r="B102" s="41" t="str">
        <f>'Sensor Unit'!B54</f>
        <v/>
      </c>
      <c r="C102" s="41" t="str">
        <f>'Sensor Unit'!C54</f>
        <v/>
      </c>
      <c r="D102" s="41" t="str">
        <f>'Sensor Unit'!D54</f>
        <v/>
      </c>
      <c r="O102" s="41" t="str">
        <f>'Sensor Unit'!E54</f>
        <v/>
      </c>
      <c r="P102" s="41" t="str">
        <f>'Sensor Unit'!F54</f>
        <v/>
      </c>
      <c r="Q102" s="41" t="str">
        <f>'Sensor Unit'!G54</f>
        <v/>
      </c>
      <c r="R102" s="41" t="str">
        <f>'Sensor Unit'!H54</f>
        <v/>
      </c>
      <c r="S102" s="41" t="str">
        <f>'Sensor Unit'!I54</f>
        <v/>
      </c>
      <c r="T102" s="41" t="str">
        <f>'Sensor Unit'!J54</f>
        <v/>
      </c>
      <c r="U102" s="41" t="str">
        <f>'Sensor Unit'!K54</f>
        <v/>
      </c>
      <c r="V102" s="41" t="str">
        <f>'Sensor Unit'!L54</f>
        <v/>
      </c>
    </row>
    <row r="103">
      <c r="A103" s="41" t="str">
        <f>'Sensor Unit'!A55</f>
        <v>HARDWARE:</v>
      </c>
      <c r="B103" s="41" t="str">
        <f>'Sensor Unit'!B55</f>
        <v/>
      </c>
      <c r="C103" s="41" t="str">
        <f>'Sensor Unit'!C55</f>
        <v/>
      </c>
      <c r="D103" s="41" t="str">
        <f>'Sensor Unit'!D55</f>
        <v/>
      </c>
      <c r="O103" s="41" t="str">
        <f>'Sensor Unit'!E55</f>
        <v/>
      </c>
      <c r="P103" s="41" t="str">
        <f>'Sensor Unit'!F55</f>
        <v/>
      </c>
      <c r="Q103" s="41" t="str">
        <f>'Sensor Unit'!G55</f>
        <v/>
      </c>
      <c r="R103" s="41" t="str">
        <f>'Sensor Unit'!H55</f>
        <v/>
      </c>
      <c r="S103" s="41" t="str">
        <f>'Sensor Unit'!I55</f>
        <v/>
      </c>
      <c r="T103" s="41" t="str">
        <f>'Sensor Unit'!J55</f>
        <v/>
      </c>
      <c r="U103" s="41" t="str">
        <f>'Sensor Unit'!K55</f>
        <v/>
      </c>
      <c r="V103" s="41" t="str">
        <f>'Sensor Unit'!L55</f>
        <v/>
      </c>
    </row>
    <row r="104">
      <c r="A104" s="41" t="str">
        <f>'Sensor Unit'!A56</f>
        <v>- Adaptive sampling (no cost, +8hr): Sample every 10min when stable,</v>
      </c>
      <c r="B104" s="41" t="str">
        <f>'Sensor Unit'!B56</f>
        <v/>
      </c>
      <c r="C104" s="41" t="str">
        <f>'Sensor Unit'!C56</f>
        <v/>
      </c>
      <c r="D104" s="41" t="str">
        <f>'Sensor Unit'!D56</f>
        <v/>
      </c>
      <c r="O104" s="41" t="str">
        <f>'Sensor Unit'!E56</f>
        <v/>
      </c>
      <c r="P104" s="41" t="str">
        <f>'Sensor Unit'!F56</f>
        <v/>
      </c>
      <c r="Q104" s="41" t="str">
        <f>'Sensor Unit'!G56</f>
        <v/>
      </c>
      <c r="R104" s="41" t="str">
        <f>'Sensor Unit'!H56</f>
        <v/>
      </c>
      <c r="S104" s="41" t="str">
        <f>'Sensor Unit'!I56</f>
        <v/>
      </c>
      <c r="T104" s="41" t="str">
        <f>'Sensor Unit'!J56</f>
        <v/>
      </c>
      <c r="U104" s="41" t="str">
        <f>'Sensor Unit'!K56</f>
        <v/>
      </c>
      <c r="V104" s="41" t="str">
        <f>'Sensor Unit'!L56</f>
        <v/>
      </c>
    </row>
    <row r="105">
      <c r="A105" s="41" t="str">
        <f>'Sensor Unit'!A57</f>
        <v>every 2min during disturbances. Saves 20-30% power. RECOMMENDED.</v>
      </c>
      <c r="B105" s="41" t="str">
        <f>'Sensor Unit'!B57</f>
        <v/>
      </c>
      <c r="C105" s="41" t="str">
        <f>'Sensor Unit'!C57</f>
        <v/>
      </c>
      <c r="D105" s="41" t="str">
        <f>'Sensor Unit'!D57</f>
        <v/>
      </c>
      <c r="O105" s="41" t="str">
        <f>'Sensor Unit'!E57</f>
        <v/>
      </c>
      <c r="P105" s="41" t="str">
        <f>'Sensor Unit'!F57</f>
        <v/>
      </c>
      <c r="Q105" s="41" t="str">
        <f>'Sensor Unit'!G57</f>
        <v/>
      </c>
      <c r="R105" s="41" t="str">
        <f>'Sensor Unit'!H57</f>
        <v/>
      </c>
      <c r="S105" s="41" t="str">
        <f>'Sensor Unit'!I57</f>
        <v/>
      </c>
      <c r="T105" s="41" t="str">
        <f>'Sensor Unit'!J57</f>
        <v/>
      </c>
      <c r="U105" s="41" t="str">
        <f>'Sensor Unit'!K57</f>
        <v/>
      </c>
      <c r="V105" s="41" t="str">
        <f>'Sensor Unit'!L57</f>
        <v/>
      </c>
    </row>
    <row r="106">
      <c r="A106" s="41" t="str">
        <f>'Sensor Unit'!A58</f>
        <v>- Wireless charging (+$5, +5hr): Qi coil for cable-free charging.</v>
      </c>
      <c r="B106" s="41" t="str">
        <f>'Sensor Unit'!B58</f>
        <v/>
      </c>
      <c r="C106" s="41" t="str">
        <f>'Sensor Unit'!C58</f>
        <v/>
      </c>
      <c r="D106" s="41" t="str">
        <f>'Sensor Unit'!D58</f>
        <v/>
      </c>
      <c r="O106" s="41" t="str">
        <f>'Sensor Unit'!E58</f>
        <v/>
      </c>
      <c r="P106" s="41" t="str">
        <f>'Sensor Unit'!F58</f>
        <v/>
      </c>
      <c r="Q106" s="41" t="str">
        <f>'Sensor Unit'!G58</f>
        <v/>
      </c>
      <c r="R106" s="41" t="str">
        <f>'Sensor Unit'!H58</f>
        <v/>
      </c>
      <c r="S106" s="41" t="str">
        <f>'Sensor Unit'!I58</f>
        <v/>
      </c>
      <c r="T106" s="41" t="str">
        <f>'Sensor Unit'!J58</f>
        <v/>
      </c>
      <c r="U106" s="41" t="str">
        <f>'Sensor Unit'!K58</f>
        <v/>
      </c>
      <c r="V106" s="41" t="str">
        <f>'Sensor Unit'!L58</f>
        <v/>
      </c>
    </row>
    <row r="107">
      <c r="A107" s="41" t="str">
        <f>'Sensor Unit'!A59</f>
        <v>Major convenience boost.</v>
      </c>
      <c r="B107" s="41" t="str">
        <f>'Sensor Unit'!B59</f>
        <v/>
      </c>
      <c r="C107" s="41" t="str">
        <f>'Sensor Unit'!C59</f>
        <v/>
      </c>
      <c r="D107" s="41" t="str">
        <f>'Sensor Unit'!D59</f>
        <v/>
      </c>
      <c r="O107" s="41" t="str">
        <f>'Sensor Unit'!E59</f>
        <v/>
      </c>
      <c r="P107" s="41" t="str">
        <f>'Sensor Unit'!F59</f>
        <v/>
      </c>
      <c r="Q107" s="41" t="str">
        <f>'Sensor Unit'!G59</f>
        <v/>
      </c>
      <c r="R107" s="41" t="str">
        <f>'Sensor Unit'!H59</f>
        <v/>
      </c>
      <c r="S107" s="41" t="str">
        <f>'Sensor Unit'!I59</f>
        <v/>
      </c>
      <c r="T107" s="41" t="str">
        <f>'Sensor Unit'!J59</f>
        <v/>
      </c>
      <c r="U107" s="41" t="str">
        <f>'Sensor Unit'!K59</f>
        <v/>
      </c>
      <c r="V107" s="41" t="str">
        <f>'Sensor Unit'!L59</f>
        <v/>
      </c>
    </row>
    <row r="108">
      <c r="A108" s="41" t="str">
        <f>'Sensor Unit'!A60</f>
        <v/>
      </c>
      <c r="B108" s="41" t="str">
        <f>'Sensor Unit'!B60</f>
        <v/>
      </c>
      <c r="C108" s="41" t="str">
        <f>'Sensor Unit'!C60</f>
        <v/>
      </c>
      <c r="D108" s="41" t="str">
        <f>'Sensor Unit'!D60</f>
        <v/>
      </c>
      <c r="O108" s="41" t="str">
        <f>'Sensor Unit'!E60</f>
        <v/>
      </c>
      <c r="P108" s="41" t="str">
        <f>'Sensor Unit'!F60</f>
        <v/>
      </c>
      <c r="Q108" s="41" t="str">
        <f>'Sensor Unit'!G60</f>
        <v/>
      </c>
      <c r="R108" s="41" t="str">
        <f>'Sensor Unit'!H60</f>
        <v/>
      </c>
      <c r="S108" s="41" t="str">
        <f>'Sensor Unit'!I60</f>
        <v/>
      </c>
      <c r="T108" s="41" t="str">
        <f>'Sensor Unit'!J60</f>
        <v/>
      </c>
      <c r="U108" s="41" t="str">
        <f>'Sensor Unit'!K60</f>
        <v/>
      </c>
      <c r="V108" s="41" t="str">
        <f>'Sensor Unit'!L60</f>
        <v/>
      </c>
    </row>
    <row r="109">
      <c r="A109" s="41" t="str">
        <f>'Sensor Unit'!A61</f>
        <v>SOFTWARE:</v>
      </c>
      <c r="B109" s="41" t="str">
        <f>'Sensor Unit'!B61</f>
        <v/>
      </c>
      <c r="C109" s="41" t="str">
        <f>'Sensor Unit'!C61</f>
        <v/>
      </c>
      <c r="D109" s="41" t="str">
        <f>'Sensor Unit'!D61</f>
        <v/>
      </c>
      <c r="O109" s="41" t="str">
        <f>'Sensor Unit'!E61</f>
        <v/>
      </c>
      <c r="P109" s="41" t="str">
        <f>'Sensor Unit'!F61</f>
        <v/>
      </c>
      <c r="Q109" s="41" t="str">
        <f>'Sensor Unit'!G61</f>
        <v/>
      </c>
      <c r="R109" s="41" t="str">
        <f>'Sensor Unit'!H61</f>
        <v/>
      </c>
      <c r="S109" s="41" t="str">
        <f>'Sensor Unit'!I61</f>
        <v/>
      </c>
      <c r="T109" s="41" t="str">
        <f>'Sensor Unit'!J61</f>
        <v/>
      </c>
      <c r="U109" s="41" t="str">
        <f>'Sensor Unit'!K61</f>
        <v/>
      </c>
      <c r="V109" s="41" t="str">
        <f>'Sensor Unit'!L61</f>
        <v/>
      </c>
    </row>
    <row r="110">
      <c r="A110" s="41" t="str">
        <f>'Sensor Unit'!A62</f>
        <v>- Battery % indicator (no cost, +2hr): ESP32 ADC monitors voltage.</v>
      </c>
      <c r="B110" s="41" t="str">
        <f>'Sensor Unit'!B62</f>
        <v/>
      </c>
      <c r="C110" s="41" t="str">
        <f>'Sensor Unit'!C62</f>
        <v/>
      </c>
      <c r="D110" s="41" t="str">
        <f>'Sensor Unit'!D62</f>
        <v/>
      </c>
      <c r="O110" s="41" t="str">
        <f>'Sensor Unit'!E62</f>
        <v/>
      </c>
      <c r="P110" s="41" t="str">
        <f>'Sensor Unit'!F62</f>
        <v/>
      </c>
      <c r="Q110" s="41" t="str">
        <f>'Sensor Unit'!G62</f>
        <v/>
      </c>
      <c r="R110" s="41" t="str">
        <f>'Sensor Unit'!H62</f>
        <v/>
      </c>
      <c r="S110" s="41" t="str">
        <f>'Sensor Unit'!I62</f>
        <v/>
      </c>
      <c r="T110" s="41" t="str">
        <f>'Sensor Unit'!J62</f>
        <v/>
      </c>
      <c r="U110" s="41" t="str">
        <f>'Sensor Unit'!K62</f>
        <v/>
      </c>
      <c r="V110" s="41" t="str">
        <f>'Sensor Unit'!L62</f>
        <v/>
      </c>
    </row>
    <row r="111">
      <c r="A111" s="41" t="str">
        <f>'Sensor Unit'!A63</f>
        <v>ESSENTIAL for UX.</v>
      </c>
      <c r="B111" s="41" t="str">
        <f>'Sensor Unit'!B63</f>
        <v/>
      </c>
      <c r="C111" s="41" t="str">
        <f>'Sensor Unit'!C63</f>
        <v/>
      </c>
      <c r="D111" s="41" t="str">
        <f>'Sensor Unit'!D63</f>
        <v/>
      </c>
      <c r="O111" s="41" t="str">
        <f>'Sensor Unit'!E63</f>
        <v/>
      </c>
      <c r="P111" s="41" t="str">
        <f>'Sensor Unit'!F63</f>
        <v/>
      </c>
      <c r="Q111" s="41" t="str">
        <f>'Sensor Unit'!G63</f>
        <v/>
      </c>
      <c r="R111" s="41" t="str">
        <f>'Sensor Unit'!H63</f>
        <v/>
      </c>
      <c r="S111" s="41" t="str">
        <f>'Sensor Unit'!I63</f>
        <v/>
      </c>
      <c r="T111" s="41" t="str">
        <f>'Sensor Unit'!J63</f>
        <v/>
      </c>
      <c r="U111" s="41" t="str">
        <f>'Sensor Unit'!K63</f>
        <v/>
      </c>
      <c r="V111" s="41" t="str">
        <f>'Sensor Unit'!L63</f>
        <v/>
      </c>
    </row>
    <row r="112">
      <c r="A112" s="41" t="str">
        <f>'Sensor Unit'!A64</f>
        <v>- Smart sleep detection (no cost, +10hr): Motion sensor detects when</v>
      </c>
      <c r="B112" s="41" t="str">
        <f>'Sensor Unit'!B64</f>
        <v/>
      </c>
      <c r="C112" s="41" t="str">
        <f>'Sensor Unit'!C64</f>
        <v/>
      </c>
      <c r="D112" s="41" t="str">
        <f>'Sensor Unit'!D64</f>
        <v/>
      </c>
      <c r="O112" s="41" t="str">
        <f>'Sensor Unit'!E64</f>
        <v/>
      </c>
      <c r="P112" s="41" t="str">
        <f>'Sensor Unit'!F64</f>
        <v/>
      </c>
      <c r="Q112" s="41" t="str">
        <f>'Sensor Unit'!G64</f>
        <v/>
      </c>
      <c r="R112" s="41" t="str">
        <f>'Sensor Unit'!H64</f>
        <v/>
      </c>
      <c r="S112" s="41" t="str">
        <f>'Sensor Unit'!I64</f>
        <v/>
      </c>
      <c r="T112" s="41" t="str">
        <f>'Sensor Unit'!J64</f>
        <v/>
      </c>
      <c r="U112" s="41" t="str">
        <f>'Sensor Unit'!K64</f>
        <v/>
      </c>
      <c r="V112" s="41" t="str">
        <f>'Sensor Unit'!L64</f>
        <v/>
      </c>
    </row>
    <row r="113">
      <c r="A113" s="41" t="str">
        <f>'Sensor Unit'!A65</f>
        <v>user in bed. Saves 5-10% power.</v>
      </c>
      <c r="B113" s="41" t="str">
        <f>'Sensor Unit'!B65</f>
        <v/>
      </c>
      <c r="C113" s="41" t="str">
        <f>'Sensor Unit'!C65</f>
        <v/>
      </c>
      <c r="D113" s="41" t="str">
        <f>'Sensor Unit'!D65</f>
        <v/>
      </c>
      <c r="O113" s="41" t="str">
        <f>'Sensor Unit'!E65</f>
        <v/>
      </c>
      <c r="P113" s="41" t="str">
        <f>'Sensor Unit'!F65</f>
        <v/>
      </c>
      <c r="Q113" s="41" t="str">
        <f>'Sensor Unit'!G65</f>
        <v/>
      </c>
      <c r="R113" s="41" t="str">
        <f>'Sensor Unit'!H65</f>
        <v/>
      </c>
      <c r="S113" s="41" t="str">
        <f>'Sensor Unit'!I65</f>
        <v/>
      </c>
      <c r="T113" s="41" t="str">
        <f>'Sensor Unit'!J65</f>
        <v/>
      </c>
      <c r="U113" s="41" t="str">
        <f>'Sensor Unit'!K65</f>
        <v/>
      </c>
      <c r="V113" s="41" t="str">
        <f>'Sensor Unit'!L65</f>
        <v/>
      </c>
    </row>
    <row r="114">
      <c r="A114" s="41" t="str">
        <f>'Sensor Unit'!A66</f>
        <v/>
      </c>
      <c r="B114" s="41" t="str">
        <f>'Sensor Unit'!B66</f>
        <v/>
      </c>
      <c r="C114" s="41" t="str">
        <f>'Sensor Unit'!C66</f>
        <v/>
      </c>
      <c r="D114" s="41" t="str">
        <f>'Sensor Unit'!D66</f>
        <v/>
      </c>
      <c r="O114" s="41" t="str">
        <f>'Sensor Unit'!E66</f>
        <v/>
      </c>
      <c r="P114" s="41" t="str">
        <f>'Sensor Unit'!F66</f>
        <v/>
      </c>
      <c r="Q114" s="41" t="str">
        <f>'Sensor Unit'!G66</f>
        <v/>
      </c>
      <c r="R114" s="41" t="str">
        <f>'Sensor Unit'!H66</f>
        <v/>
      </c>
      <c r="S114" s="41" t="str">
        <f>'Sensor Unit'!I66</f>
        <v/>
      </c>
      <c r="T114" s="41" t="str">
        <f>'Sensor Unit'!J66</f>
        <v/>
      </c>
      <c r="U114" s="41" t="str">
        <f>'Sensor Unit'!K66</f>
        <v/>
      </c>
      <c r="V114" s="41" t="str">
        <f>'Sensor Unit'!L66</f>
        <v/>
      </c>
    </row>
    <row r="115">
      <c r="A115" s="41" t="str">
        <f>'Sensor Unit'!A67</f>
        <v/>
      </c>
      <c r="B115" s="41" t="str">
        <f>'Sensor Unit'!B67</f>
        <v/>
      </c>
      <c r="C115" s="41" t="str">
        <f>'Sensor Unit'!C67</f>
        <v/>
      </c>
      <c r="D115" s="41" t="str">
        <f>'Sensor Unit'!D67</f>
        <v/>
      </c>
      <c r="O115" s="41" t="str">
        <f>'Sensor Unit'!E67</f>
        <v/>
      </c>
      <c r="P115" s="41" t="str">
        <f>'Sensor Unit'!F67</f>
        <v/>
      </c>
      <c r="Q115" s="41" t="str">
        <f>'Sensor Unit'!G67</f>
        <v/>
      </c>
      <c r="R115" s="41" t="str">
        <f>'Sensor Unit'!H67</f>
        <v/>
      </c>
      <c r="S115" s="41" t="str">
        <f>'Sensor Unit'!I67</f>
        <v/>
      </c>
      <c r="T115" s="41" t="str">
        <f>'Sensor Unit'!J67</f>
        <v/>
      </c>
      <c r="U115" s="41" t="str">
        <f>'Sensor Unit'!K67</f>
        <v/>
      </c>
      <c r="V115" s="41" t="str">
        <f>'Sensor Unit'!L67</f>
        <v/>
      </c>
    </row>
    <row r="116">
      <c r="A116" s="41" t="str">
        <f>'Sensor Unit'!A68</f>
        <v/>
      </c>
      <c r="B116" s="41" t="str">
        <f>'Sensor Unit'!B68</f>
        <v/>
      </c>
      <c r="C116" s="41" t="str">
        <f>'Sensor Unit'!C68</f>
        <v/>
      </c>
      <c r="D116" s="41" t="str">
        <f>'Sensor Unit'!D68</f>
        <v/>
      </c>
      <c r="O116" s="41" t="str">
        <f>'Sensor Unit'!E68</f>
        <v/>
      </c>
      <c r="P116" s="41" t="str">
        <f>'Sensor Unit'!F68</f>
        <v/>
      </c>
      <c r="Q116" s="41" t="str">
        <f>'Sensor Unit'!G68</f>
        <v/>
      </c>
      <c r="R116" s="41" t="str">
        <f>'Sensor Unit'!H68</f>
        <v/>
      </c>
      <c r="S116" s="41" t="str">
        <f>'Sensor Unit'!I68</f>
        <v/>
      </c>
      <c r="T116" s="41" t="str">
        <f>'Sensor Unit'!J68</f>
        <v/>
      </c>
      <c r="U116" s="41" t="str">
        <f>'Sensor Unit'!K68</f>
        <v/>
      </c>
      <c r="V116" s="41" t="str">
        <f>'Sensor Unit'!L68</f>
        <v/>
      </c>
    </row>
    <row r="117">
      <c r="A117" s="41" t="str">
        <f>'Sensor Unit'!A69</f>
        <v/>
      </c>
      <c r="B117" s="41" t="str">
        <f>'Sensor Unit'!B69</f>
        <v/>
      </c>
      <c r="C117" s="41" t="str">
        <f>'Sensor Unit'!C69</f>
        <v/>
      </c>
      <c r="D117" s="41" t="str">
        <f>'Sensor Unit'!D69</f>
        <v/>
      </c>
      <c r="O117" s="41" t="str">
        <f>'Sensor Unit'!E69</f>
        <v/>
      </c>
      <c r="P117" s="41" t="str">
        <f>'Sensor Unit'!F69</f>
        <v/>
      </c>
      <c r="Q117" s="41" t="str">
        <f>'Sensor Unit'!G69</f>
        <v/>
      </c>
      <c r="R117" s="41" t="str">
        <f>'Sensor Unit'!H69</f>
        <v/>
      </c>
      <c r="S117" s="41" t="str">
        <f>'Sensor Unit'!I69</f>
        <v/>
      </c>
      <c r="T117" s="41" t="str">
        <f>'Sensor Unit'!J69</f>
        <v/>
      </c>
      <c r="U117" s="41" t="str">
        <f>'Sensor Unit'!K69</f>
        <v/>
      </c>
      <c r="V117" s="41" t="str">
        <f>'Sensor Unit'!L69</f>
        <v/>
      </c>
    </row>
    <row r="118">
      <c r="A118" s="41" t="str">
        <f>'Sensor Unit'!A70</f>
        <v/>
      </c>
      <c r="B118" s="41" t="str">
        <f>'Sensor Unit'!B70</f>
        <v/>
      </c>
      <c r="C118" s="41" t="str">
        <f>'Sensor Unit'!C70</f>
        <v/>
      </c>
      <c r="D118" s="41" t="str">
        <f>'Sensor Unit'!D70</f>
        <v/>
      </c>
      <c r="O118" s="41" t="str">
        <f>'Sensor Unit'!E70</f>
        <v/>
      </c>
      <c r="P118" s="41" t="str">
        <f>'Sensor Unit'!F70</f>
        <v/>
      </c>
      <c r="Q118" s="41" t="str">
        <f>'Sensor Unit'!G70</f>
        <v/>
      </c>
      <c r="R118" s="41" t="str">
        <f>'Sensor Unit'!H70</f>
        <v/>
      </c>
      <c r="S118" s="41" t="str">
        <f>'Sensor Unit'!I70</f>
        <v/>
      </c>
      <c r="T118" s="41" t="str">
        <f>'Sensor Unit'!J70</f>
        <v/>
      </c>
      <c r="U118" s="41" t="str">
        <f>'Sensor Unit'!K70</f>
        <v/>
      </c>
      <c r="V118" s="41" t="str">
        <f>'Sensor Unit'!L70</f>
        <v/>
      </c>
    </row>
  </sheetData>
  <drawing r:id="rId1"/>
</worksheet>
</file>